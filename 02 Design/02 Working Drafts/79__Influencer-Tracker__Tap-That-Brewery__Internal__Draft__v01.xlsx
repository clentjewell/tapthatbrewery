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rtlist" sheetId="1" state="visible" r:id="rId1"/>
    <sheet name="Top 10" sheetId="2" state="visible" r:id="rId2"/>
    <sheet name="Outreach Tracker" sheetId="3" state="visible" r:id="rId3"/>
    <sheet name="Content &amp; Results" sheetId="4" state="visible" r:id="rId4"/>
    <sheet name="Compliance Checklist" sheetId="5" state="visible" r:id="rId5"/>
    <sheet name="Partner Channels" sheetId="6" state="visible" r:id="rId6"/>
  </sheets>
  <definedNames>
    <definedName name="_xlnm._FilterDatabase" localSheetId="0" hidden="1">'Shortlist'!$A$4:$N$31</definedName>
    <definedName name="_xlnm._FilterDatabase" localSheetId="1" hidden="1">'Top 10'!$A$4:$F$14</definedName>
    <definedName name="_xlnm._FilterDatabase" localSheetId="2" hidden="1">'Outreach Tracker'!$A$4:$Q$31</definedName>
    <definedName name="_xlnm._FilterDatabase" localSheetId="3" hidden="1">'Content &amp; Results'!$A$4:$W$4</definedName>
    <definedName name="_xlnm._FilterDatabase" localSheetId="4" hidden="1">'Compliance Checklist'!$A$4:$D$24</definedName>
    <definedName name="_xlnm._FilterDatabase" localSheetId="5" hidden="1">'Partner Channels'!$A$4:$C$6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0.00"/>
  </numFmts>
  <fonts count="4">
    <font>
      <name val="Calibri"/>
      <family val="2"/>
      <color theme="1"/>
      <sz val="11"/>
      <scheme val="minor"/>
    </font>
    <font>
      <b val="1"/>
      <color rgb="0014361D"/>
      <sz val="14"/>
    </font>
    <font>
      <i val="1"/>
      <color rgb="0066666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4361D"/>
      </patternFill>
    </fill>
    <fill>
      <patternFill patternType="solid">
        <fgColor rgb="00F3F1E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zoomScale="10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18" customWidth="1" min="4" max="4"/>
    <col width="26" customWidth="1" min="5" max="5"/>
    <col width="18" customWidth="1" min="6" max="6"/>
    <col width="30" customWidth="1" min="7" max="7"/>
    <col width="24" customWidth="1" min="8" max="8"/>
    <col width="28" customWidth="1" min="9" max="9"/>
    <col width="48" customWidth="1" min="10" max="10"/>
    <col width="26" customWidth="1" min="11" max="11"/>
    <col width="18" customWidth="1" min="12" max="12"/>
    <col width="8" customWidth="1" min="13" max="13"/>
    <col width="38" customWidth="1" min="14" max="14"/>
  </cols>
  <sheetData>
    <row r="1">
      <c r="A1" s="1" t="inlineStr">
        <is>
          <t>Tap That Brewery — influencer shortlist</t>
        </is>
      </c>
    </row>
    <row r="2">
      <c r="A2" s="2" t="inlineStr">
        <is>
          <t>Researched 28 Sep 2026. 'snippet' = undated search reading of an Instagram profile: re-check every count live before contacting. Every creator must be 25+ with an 80%+ adult audience.</t>
        </is>
      </c>
    </row>
    <row r="4">
      <c r="A4" s="3" t="inlineStr">
        <is>
          <t>#</t>
        </is>
      </c>
      <c r="B4" s="3" t="inlineStr">
        <is>
          <t>Name</t>
        </is>
      </c>
      <c r="C4" s="3" t="inlineStr">
        <is>
          <t>Handle</t>
        </is>
      </c>
      <c r="D4" s="3" t="inlineStr">
        <is>
          <t>Platform</t>
        </is>
      </c>
      <c r="E4" s="3" t="inlineStr">
        <is>
          <t>Followers (source, date)</t>
        </is>
      </c>
      <c r="F4" s="3" t="inlineStr">
        <is>
          <t>Location</t>
        </is>
      </c>
      <c r="G4" s="3" t="inlineStr">
        <is>
          <t>Content type</t>
        </is>
      </c>
      <c r="H4" s="3" t="inlineStr">
        <is>
          <t>Engagement</t>
        </is>
      </c>
      <c r="I4" s="3" t="inlineStr">
        <is>
          <t>Contact</t>
        </is>
      </c>
      <c r="J4" s="3" t="inlineStr">
        <is>
          <t>Why they suit Tap That</t>
        </is>
      </c>
      <c r="K4" s="3" t="inlineStr">
        <is>
          <t>Opportunity (paid / gifted / event)</t>
        </is>
      </c>
      <c r="L4" s="3" t="inlineStr">
        <is>
          <t>Tier</t>
        </is>
      </c>
      <c r="M4" s="3" t="inlineStr">
        <is>
          <t>Top 10 rank</t>
        </is>
      </c>
      <c r="N4" s="3" t="inlineStr">
        <is>
          <t>Flags / to verify</t>
        </is>
      </c>
    </row>
    <row r="5">
      <c r="A5" s="4" t="n">
        <v>1</v>
      </c>
      <c r="B5" s="4" t="inlineStr">
        <is>
          <t>Ethan Cox (Brit in Australia)</t>
        </is>
      </c>
      <c r="C5" s="4" t="inlineStr">
        <is>
          <t>@ethan.cox01</t>
        </is>
      </c>
      <c r="D5" s="4" t="inlineStr">
        <is>
          <t>TikTok (IG to confirm)</t>
        </is>
      </c>
      <c r="E5" s="4" t="inlineStr">
        <is>
          <t>10.8K TikTok (profile, 28 Sep 26)</t>
        </is>
      </c>
      <c r="F5" s="4" t="inlineStr">
        <is>
          <t>Gold Coast</t>
        </is>
      </c>
      <c r="G5" s="4" t="inlineStr">
        <is>
          <t>"Best X on the Gold Coast?!" food and venue review videos</t>
        </is>
      </c>
      <c r="H5" s="4" t="inlineStr">
        <is>
          <t>Strong: 6.7K–52K views per recent video</t>
        </is>
      </c>
      <c r="I5" s="4" t="inlineStr">
        <is>
          <t>ethancoxcontent@outlook.com</t>
        </is>
      </c>
      <c r="J5" s="4" t="inlineStr">
        <is>
          <t>Views run well past his follower count, and he already does dinner-and-drinks venue content (Burly Gin, Sep 26). A 'best brewery taproom in Burleigh' video is his format exactly.</t>
        </is>
      </c>
      <c r="K5" s="4" t="inlineStr">
        <is>
          <t>Gifted hosted visit, then paid if the first piece performs</t>
        </is>
      </c>
      <c r="L5" s="4" t="inlineStr">
        <is>
          <t>A · Food &amp; drink</t>
        </is>
      </c>
      <c r="M5" s="4" t="n">
        <v>3</v>
      </c>
      <c r="N5" s="4" t="inlineStr">
        <is>
          <t>TikTok-first: needs an Instagram post, or TikTok One approval (see compliance). Confirm 25+.</t>
        </is>
      </c>
    </row>
    <row r="6">
      <c r="A6" s="5" t="n">
        <v>2</v>
      </c>
      <c r="B6" s="5" t="inlineStr">
        <is>
          <t>Lauren</t>
        </is>
      </c>
      <c r="C6" s="5" t="inlineStr">
        <is>
          <t>@laurenguides</t>
        </is>
      </c>
      <c r="D6" s="5" t="inlineStr">
        <is>
          <t>TikTok</t>
        </is>
      </c>
      <c r="E6" s="5" t="inlineStr">
        <is>
          <t>9.7K TikTok (profile, 28 Sep 26)</t>
        </is>
      </c>
      <c r="F6" s="5" t="inlineStr">
        <is>
          <t>Gold Coast (Burleigh, Surfers)</t>
        </is>
      </c>
      <c r="G6" s="5" t="inlineStr">
        <is>
          <t>Venue, restaurant and 'must do' guides; posts almost daily</t>
        </is>
      </c>
      <c r="H6" s="5" t="inlineStr">
        <is>
          <t>Good: 900–7.5K views; 1.2M lifetime likes</t>
        </is>
      </c>
      <c r="I6" s="5" t="inlineStr">
        <is>
          <t>laurenguides@outlook.com</t>
        </is>
      </c>
      <c r="J6" s="5" t="inlineStr">
        <is>
          <t>Already covers Burleigh drinking venues (Conka, Paloma) for a local audience. Things-to-do framing fits the taproom, live music and tours.</t>
        </is>
      </c>
      <c r="K6" s="5" t="inlineStr">
        <is>
          <t>Gifted hosted visit; creator night invite</t>
        </is>
      </c>
      <c r="L6" s="5" t="inlineStr">
        <is>
          <t>A · Food &amp; drink</t>
        </is>
      </c>
      <c r="M6" s="5" t="n">
        <v>4</v>
      </c>
      <c r="N6" s="5" t="inlineStr">
        <is>
          <t>TikTok-first: see compliance. Confirm 25+ and IG handle.</t>
        </is>
      </c>
    </row>
    <row r="7">
      <c r="A7" s="4" t="n">
        <v>3</v>
      </c>
      <c r="B7" s="4" t="inlineStr">
        <is>
          <t>Lucy Klodinsky</t>
        </is>
      </c>
      <c r="C7" s="4" t="inlineStr">
        <is>
          <t>@badgalfoody</t>
        </is>
      </c>
      <c r="D7" s="4" t="inlineStr">
        <is>
          <t>Instagram + TikTok</t>
        </is>
      </c>
      <c r="E7" s="4" t="inlineStr">
        <is>
          <t>~14K IG (snippet); 9.3K TikTok (28 Sep 26)</t>
        </is>
      </c>
      <c r="F7" s="4" t="inlineStr">
        <is>
          <t>Gold Coast / Melbourne</t>
        </is>
      </c>
      <c r="G7" s="4" t="inlineStr">
        <is>
          <t>Gold Coast restaurant and café reviews, near-daily</t>
        </is>
      </c>
      <c r="H7" s="4" t="inlineStr">
        <is>
          <t>Moderate: 500–2.3K TikTok views</t>
        </is>
      </c>
      <c r="I7" s="4" t="inlineStr">
        <is>
          <t>DM (business link in bio)</t>
        </is>
      </c>
      <c r="J7" s="4" t="inlineStr">
        <is>
          <t>Consistent daily GC reviewer with an Instagram audience; a Tap That visit plus Ammazza pizza and a tasting paddle is an easy review.</t>
        </is>
      </c>
      <c r="K7" s="4" t="inlineStr">
        <is>
          <t>Gifted hosted visit</t>
        </is>
      </c>
      <c r="L7" s="4" t="inlineStr">
        <is>
          <t>A · Food &amp; drink</t>
        </is>
      </c>
      <c r="M7" s="4" t="n">
        <v>5</v>
      </c>
      <c r="N7" s="4" t="inlineStr">
        <is>
          <t>No beer content seen yet. Check how much of her audience is in Melbourne. Confirm 25+.</t>
        </is>
      </c>
    </row>
    <row r="8">
      <c r="A8" s="5" t="n">
        <v>4</v>
      </c>
      <c r="B8" s="5" t="inlineStr">
        <is>
          <t>Gold Coast foodie</t>
        </is>
      </c>
      <c r="C8" s="5" t="inlineStr">
        <is>
          <t>@gc_eats</t>
        </is>
      </c>
      <c r="D8" s="5" t="inlineStr">
        <is>
          <t>Instagram + TikTok</t>
        </is>
      </c>
      <c r="E8" s="5" t="inlineStr">
        <is>
          <t>6.6–7K IG (CheckBB, Mar 26); 1.4K TikTok</t>
        </is>
      </c>
      <c r="F8" s="5" t="inlineStr">
        <is>
          <t>Gold Coast</t>
        </is>
      </c>
      <c r="G8" s="5" t="inlineStr">
        <is>
          <t>GC eats and new openings</t>
        </is>
      </c>
      <c r="H8" s="5" t="inlineStr">
        <is>
          <t>Very strong: 14.5% IG ER, ~940 avg likes (CheckBB)</t>
        </is>
      </c>
      <c r="I8" s="5" t="inlineStr">
        <is>
          <t>gc.eatss@gmail.com</t>
        </is>
      </c>
      <c r="J8" s="5" t="inlineStr">
        <is>
          <t>Small, but the engagement rate is the best on the list: the micro-influencer profile the brief asks for.</t>
        </is>
      </c>
      <c r="K8" s="5" t="inlineStr">
        <is>
          <t>Gifted hosted visit</t>
        </is>
      </c>
      <c r="L8" s="5" t="inlineStr">
        <is>
          <t>A · Food &amp; drink</t>
        </is>
      </c>
      <c r="M8" s="5" t="n">
        <v>6</v>
      </c>
      <c r="N8" s="5" t="inlineStr">
        <is>
          <t>Confirm 25+ and audience age split.</t>
        </is>
      </c>
    </row>
    <row r="9">
      <c r="A9" s="4" t="n">
        <v>5</v>
      </c>
      <c r="B9" s="4" t="inlineStr">
        <is>
          <t>Tushna Mehta</t>
        </is>
      </c>
      <c r="C9" s="4" t="inlineStr">
        <is>
          <t>@thefoodhedonist</t>
        </is>
      </c>
      <c r="D9" s="4" t="inlineStr">
        <is>
          <t>Instagram</t>
        </is>
      </c>
      <c r="E9" s="4" t="inlineStr">
        <is>
          <t>12.5K IG (CheckBB, Mar 26)</t>
        </is>
      </c>
      <c r="F9" s="4" t="inlineStr">
        <is>
          <t>Gold Coast / Brisbane</t>
        </is>
      </c>
      <c r="G9" s="4" t="inlineStr">
        <is>
          <t>Food, wine and hospitality storytelling; creates content for venues</t>
        </is>
      </c>
      <c r="H9" s="4" t="inlineStr">
        <is>
          <t>Weak: 0.55% ER, ~57 avg likes</t>
        </is>
      </c>
      <c r="I9" s="4" t="inlineStr">
        <is>
          <t>thefoodhedonist1@gmail.com; tushnamehta.com</t>
        </is>
      </c>
      <c r="J9" s="4" t="inlineStr">
        <is>
          <t>Drinks-literate and sells content creation, so she could be used for owned assets (Reels Tap That posts itself) rather than for her reach.</t>
        </is>
      </c>
      <c r="K9" s="4" t="inlineStr">
        <is>
          <t>Paid content creation (usage rights), not reach</t>
        </is>
      </c>
      <c r="L9" s="4" t="inlineStr">
        <is>
          <t>A · Food &amp; drink</t>
        </is>
      </c>
      <c r="M9" s="4" t="inlineStr"/>
      <c r="N9" s="4" t="inlineStr">
        <is>
          <t>Low engagement; value is as a content producer.</t>
        </is>
      </c>
    </row>
    <row r="10">
      <c r="A10" s="5" t="n">
        <v>6</v>
      </c>
      <c r="B10" s="5" t="inlineStr">
        <is>
          <t>Catherine</t>
        </is>
      </c>
      <c r="C10" s="5" t="inlineStr">
        <is>
          <t>@goldcoastfoodie</t>
        </is>
      </c>
      <c r="D10" s="5" t="inlineStr">
        <is>
          <t>Instagram + TikTok</t>
        </is>
      </c>
      <c r="E10" s="5" t="inlineStr">
        <is>
          <t>37.5K IG (CheckBB, Mar 26); 1.2K TikTok</t>
        </is>
      </c>
      <c r="F10" s="5" t="inlineStr">
        <is>
          <t>Gold Coast</t>
        </is>
      </c>
      <c r="G10" s="5" t="inlineStr">
        <is>
          <t>GC venue and opening features</t>
        </is>
      </c>
      <c r="H10" s="5" t="inlineStr">
        <is>
          <t>Weak: 0.31% ER, ~103 avg likes</t>
        </is>
      </c>
      <c r="I10" s="5" t="inlineStr">
        <is>
          <t>hello@pandanuslane.com.au (her agency; confirm direct)</t>
        </is>
      </c>
      <c r="J10" s="5" t="inlineStr">
        <is>
          <t>Big local handle with drinks experience (tequila tasting at El Camino), but engagement is soft. Worth a gifted visit, not a fee.</t>
        </is>
      </c>
      <c r="K10" s="5" t="inlineStr">
        <is>
          <t>Gifted only</t>
        </is>
      </c>
      <c r="L10" s="5" t="inlineStr">
        <is>
          <t>A · Food &amp; drink</t>
        </is>
      </c>
      <c r="M10" s="5" t="inlineStr"/>
      <c r="N10" s="5" t="inlineStr">
        <is>
          <t>Low engagement; IG last post Feb 26 per CheckBB, so check she is active.</t>
        </is>
      </c>
    </row>
    <row r="11">
      <c r="A11" s="4" t="n">
        <v>7</v>
      </c>
      <c r="B11" s="4" t="inlineStr">
        <is>
          <t>Food Fantasia</t>
        </is>
      </c>
      <c r="C11" s="4" t="inlineStr">
        <is>
          <t>@foodfantasia_</t>
        </is>
      </c>
      <c r="D11" s="4" t="inlineStr">
        <is>
          <t>Instagram + TikTok</t>
        </is>
      </c>
      <c r="E11" s="4" t="inlineStr">
        <is>
          <t>~6.6K IG (snippet); 3.4K TikTok (28 Sep 26)</t>
        </is>
      </c>
      <c r="F11" s="4" t="inlineStr">
        <is>
          <t>Brisbane, GC, Sunshine Coast</t>
        </is>
      </c>
      <c r="G11" s="4" t="inlineStr">
        <is>
          <t>Reviews and new openings, daily</t>
        </is>
      </c>
      <c r="H11" s="4" t="inlineStr">
        <is>
          <t>Moderate: 500–18K TikTok views</t>
        </is>
      </c>
      <c r="I11" s="4" t="inlineStr">
        <is>
          <t>foodfantasiamedia@gmail.com</t>
        </is>
      </c>
      <c r="J11" s="4" t="inlineStr">
        <is>
          <t>Active SEQ reviewer who covers bars; a good second-wave add when the GC names are booked.</t>
        </is>
      </c>
      <c r="K11" s="4" t="inlineStr">
        <is>
          <t>Gifted hosted visit (wave 2)</t>
        </is>
      </c>
      <c r="L11" s="4" t="inlineStr">
        <is>
          <t>A · Food &amp; drink</t>
        </is>
      </c>
      <c r="M11" s="4" t="inlineStr"/>
      <c r="N11" s="4" t="inlineStr">
        <is>
          <t>Now mostly Brisbane content.</t>
        </is>
      </c>
    </row>
    <row r="12">
      <c r="A12" s="5" t="n">
        <v>8</v>
      </c>
      <c r="B12" s="5" t="inlineStr">
        <is>
          <t>Katrina &amp; Derek</t>
        </is>
      </c>
      <c r="C12" s="5" t="inlineStr">
        <is>
          <t>@fantasticfeastz</t>
        </is>
      </c>
      <c r="D12" s="5" t="inlineStr">
        <is>
          <t>Instagram + TikTok</t>
        </is>
      </c>
      <c r="E12" s="5" t="inlineStr">
        <is>
          <t>~56K IG (snippet); 31.9K TikTok (28 Sep 26)</t>
        </is>
      </c>
      <c r="F12" s="5" t="inlineStr">
        <is>
          <t>Brisbane &amp; Gold Coast</t>
        </is>
      </c>
      <c r="G12" s="5" t="inlineStr">
        <is>
          <t>'Best X' roundup Reels, buffet guides</t>
        </is>
      </c>
      <c r="H12" s="5" t="inlineStr">
        <is>
          <t>Strong on TikTok: 3.8K–101K views</t>
        </is>
      </c>
      <c r="I12" s="5" t="inlineStr">
        <is>
          <t>fantasticfeastz@gmail.com</t>
        </is>
      </c>
      <c r="J12" s="5" t="inlineStr">
        <is>
          <t>Couple format suits the 'bring your partner' angle; they already label (Ad)/(Invited) properly, which makes compliance easy.</t>
        </is>
      </c>
      <c r="K12" s="5" t="inlineStr">
        <is>
          <t>Paid collab (roundup inclusion) or gifted</t>
        </is>
      </c>
      <c r="L12" s="5" t="inlineStr">
        <is>
          <t>A · Food &amp; drink</t>
        </is>
      </c>
      <c r="M12" s="5" t="inlineStr"/>
      <c r="N12" s="5" t="inlineStr">
        <is>
          <t>Last TikTok Feb 26; recent content Brisbane-led. Check IG activity.</t>
        </is>
      </c>
    </row>
    <row r="13">
      <c r="A13" s="4" t="n">
        <v>9</v>
      </c>
      <c r="B13" s="4" t="inlineStr">
        <is>
          <t>Foodie of Gold Coast</t>
        </is>
      </c>
      <c r="C13" s="4" t="inlineStr">
        <is>
          <t>@foodieofgoldcoast</t>
        </is>
      </c>
      <c r="D13" s="4" t="inlineStr">
        <is>
          <t>Instagram</t>
        </is>
      </c>
      <c r="E13" s="4" t="inlineStr">
        <is>
          <t>~7.5K IG (snippet)</t>
        </is>
      </c>
      <c r="F13" s="4" t="inlineStr">
        <is>
          <t>Gold Coast</t>
        </is>
      </c>
      <c r="G13" s="4" t="inlineStr">
        <is>
          <t>Gold Coast food</t>
        </is>
      </c>
      <c r="H13" s="4" t="inlineStr">
        <is>
          <t>Not verified</t>
        </is>
      </c>
      <c r="I13" s="4" t="inlineStr">
        <is>
          <t>DM only</t>
        </is>
      </c>
      <c r="J13" s="4" t="inlineStr">
        <is>
          <t>Local micro account; add if a live check shows good engagement.</t>
        </is>
      </c>
      <c r="K13" s="4" t="inlineStr">
        <is>
          <t>Gifted (wave 2)</t>
        </is>
      </c>
      <c r="L13" s="4" t="inlineStr">
        <is>
          <t>A · Food &amp; drink</t>
        </is>
      </c>
      <c r="M13" s="4" t="inlineStr"/>
      <c r="N13" s="4" t="inlineStr">
        <is>
          <t>Engagement and activity not verified.</t>
        </is>
      </c>
    </row>
    <row r="14">
      <c r="A14" s="5" t="n">
        <v>10</v>
      </c>
      <c r="B14" s="5" t="inlineStr">
        <is>
          <t>Good Food Gold Coast</t>
        </is>
      </c>
      <c r="C14" s="5" t="inlineStr">
        <is>
          <t>@foodgoldcoast</t>
        </is>
      </c>
      <c r="D14" s="5" t="inlineStr">
        <is>
          <t>Instagram + website</t>
        </is>
      </c>
      <c r="E14" s="5" t="inlineStr">
        <is>
          <t>12.2K IG (CheckBB)</t>
        </is>
      </c>
      <c r="F14" s="5" t="inlineStr">
        <is>
          <t>Gold Coast (Upper Nerang)</t>
        </is>
      </c>
      <c r="G14" s="5" t="inlineStr">
        <is>
          <t>Local food media and blog since 2011</t>
        </is>
      </c>
      <c r="H14" s="5" t="inlineStr">
        <is>
          <t>Weak: 0.46% ER</t>
        </is>
      </c>
      <c r="I14" s="5" t="inlineStr">
        <is>
          <t>Contact form, foodgoldcoast.com.au</t>
        </is>
      </c>
      <c r="J14" s="5" t="inlineStr">
        <is>
          <t>Long-running local publisher; the value is a web listing and article (SEO) rather than Instagram reach.</t>
        </is>
      </c>
      <c r="K14" s="5" t="inlineStr">
        <is>
          <t>Editorial pitch / gifted</t>
        </is>
      </c>
      <c r="L14" s="5" t="inlineStr">
        <is>
          <t>A · Food &amp; drink</t>
        </is>
      </c>
      <c r="M14" s="5" t="inlineStr"/>
      <c r="N14" s="5" t="inlineStr">
        <is>
          <t>Low IG engagement.</t>
        </is>
      </c>
    </row>
    <row r="15">
      <c r="A15" s="4" t="n">
        <v>11</v>
      </c>
      <c r="B15" s="4" t="inlineStr">
        <is>
          <t>Timothy Hill</t>
        </is>
      </c>
      <c r="C15" s="4" t="inlineStr">
        <is>
          <t>@thethoughtfultipple</t>
        </is>
      </c>
      <c r="D15" s="4" t="inlineStr">
        <is>
          <t>Instagram</t>
        </is>
      </c>
      <c r="E15" s="4" t="inlineStr">
        <is>
          <t>~4.8K IG (snippet)</t>
        </is>
      </c>
      <c r="F15" s="4" t="inlineStr">
        <is>
          <t>Milton, Brisbane</t>
        </is>
      </c>
      <c r="G15" s="4" t="inlineStr">
        <is>
          <t>Independent Australian craft beer reviews</t>
        </is>
      </c>
      <c r="H15" s="4" t="inlineStr">
        <is>
          <t>Not verified</t>
        </is>
      </c>
      <c r="I15" s="4" t="inlineStr">
        <is>
          <t>thethoughtfultipple@gmail.com</t>
        </is>
      </c>
      <c r="J15" s="4" t="inlineStr">
        <is>
          <t>One of the few active SEQ craft beer reviewers. A brewer-led tasting with Chris and the new releases gives him something to write about. Credibility with beer people, not reach.</t>
        </is>
      </c>
      <c r="K15" s="4" t="inlineStr">
        <is>
          <t>Gifted brewer tasting + creator night</t>
        </is>
      </c>
      <c r="L15" s="4" t="inlineStr">
        <is>
          <t>B · Craft beer</t>
        </is>
      </c>
      <c r="M15" s="4" t="inlineStr"/>
      <c r="N15" s="4" t="inlineStr">
        <is>
          <t>Brisbane-based; recent activity not verified.</t>
        </is>
      </c>
    </row>
    <row r="16">
      <c r="A16" s="5" t="n">
        <v>12</v>
      </c>
      <c r="B16" s="5" t="inlineStr">
        <is>
          <t>Benedict Evison</t>
        </is>
      </c>
      <c r="C16" s="5" t="inlineStr">
        <is>
          <t>@craftyfollow</t>
        </is>
      </c>
      <c r="D16" s="5" t="inlineStr">
        <is>
          <t>Instagram</t>
        </is>
      </c>
      <c r="E16" s="5" t="inlineStr">
        <is>
          <t>~22K IG (2018 source, stale)</t>
        </is>
      </c>
      <c r="F16" s="5" t="inlineStr">
        <is>
          <t>Gold Coast</t>
        </is>
      </c>
      <c r="G16" s="5" t="inlineStr">
        <is>
          <t>Craft 'beertography'</t>
        </is>
      </c>
      <c r="H16" s="5" t="inlineStr">
        <is>
          <t>Not verified</t>
        </is>
      </c>
      <c r="I16" s="5" t="inlineStr">
        <is>
          <t>DM</t>
        </is>
      </c>
      <c r="J16" s="5" t="inlineStr">
        <is>
          <t>Gold Coast craft beer photographer. If still active he is the most on-category local name found.</t>
        </is>
      </c>
      <c r="K16" s="5" t="inlineStr">
        <is>
          <t>Gifted brewer tasting</t>
        </is>
      </c>
      <c r="L16" s="5" t="inlineStr">
        <is>
          <t>B · Craft beer</t>
        </is>
      </c>
      <c r="M16" s="5" t="inlineStr"/>
      <c r="N16" s="5" t="inlineStr">
        <is>
          <t>Only 2018 evidence. Check he is active before contacting.</t>
        </is>
      </c>
    </row>
    <row r="17">
      <c r="A17" s="4" t="n">
        <v>13</v>
      </c>
      <c r="B17" s="4" t="inlineStr">
        <is>
          <t>Inside Gold Coast</t>
        </is>
      </c>
      <c r="C17" s="4" t="inlineStr">
        <is>
          <t>@insidegoldcoast</t>
        </is>
      </c>
      <c r="D17" s="4" t="inlineStr">
        <is>
          <t>Instagram + TikTok + web</t>
        </is>
      </c>
      <c r="E17" s="4" t="inlineStr">
        <is>
          <t>~55K IG (snippet); 8K TikTok (28 Sep 26)</t>
        </is>
      </c>
      <c r="F17" s="4" t="inlineStr">
        <is>
          <t>Gold Coast</t>
        </is>
      </c>
      <c r="G17" s="4" t="inlineStr">
        <is>
          <t>'Everything to eat, drink &amp; do' guide; daily posts</t>
        </is>
      </c>
      <c r="H17" s="4" t="inlineStr">
        <is>
          <t>Moderate: ~0.9–4.6K TikTok views</t>
        </is>
      </c>
      <c r="I17" s="4" t="inlineStr">
        <is>
          <t>editor@insidegoldcoast.com.au; 07 5576 3044</t>
        </is>
      </c>
      <c r="J17" s="4" t="inlineStr">
        <is>
          <t>Published a Gold Coast brewery checklist in Sep 26 that leaves Tap That out. The pitch writes itself: get added, then a paid feature on the taproom and events.</t>
        </is>
      </c>
      <c r="K17" s="4" t="inlineStr">
        <is>
          <t>Editorial pitch first, then paid feature</t>
        </is>
      </c>
      <c r="L17" s="4" t="inlineStr">
        <is>
          <t>C · What's on / media</t>
        </is>
      </c>
      <c r="M17" s="4" t="n">
        <v>1</v>
      </c>
      <c r="N17" s="4" t="inlineStr">
        <is>
          <t>Media page: confirm audience is 80%+ adult before paid alcohol content.</t>
        </is>
      </c>
    </row>
    <row r="18">
      <c r="A18" s="5" t="n">
        <v>14</v>
      </c>
      <c r="B18" s="5" t="inlineStr">
        <is>
          <t>What's On Goldy</t>
        </is>
      </c>
      <c r="C18" s="5" t="inlineStr">
        <is>
          <t>@whatsongoldy</t>
        </is>
      </c>
      <c r="D18" s="5" t="inlineStr">
        <is>
          <t>Instagram + TikTok</t>
        </is>
      </c>
      <c r="E18" s="5" t="inlineStr">
        <is>
          <t>33.5K IG (influData, Sep 26; older snippet 53K); 6.2K TikTok</t>
        </is>
      </c>
      <c r="F18" s="5" t="inlineStr">
        <is>
          <t>Gold Coast</t>
        </is>
      </c>
      <c r="G18" s="5" t="inlineStr">
        <is>
          <t>Things to do, date ideas, events, food and bar lists</t>
        </is>
      </c>
      <c r="H18" s="5" t="inlineStr">
        <is>
          <t>Good: 2.54% IG ER (influData); TikTok 1K–75K views</t>
        </is>
      </c>
      <c r="I18" s="5" t="inlineStr">
        <is>
          <t>hello@whatsongoldy.com</t>
        </is>
      </c>
      <c r="J18" s="5" t="inlineStr">
        <is>
          <t>The 'things to do this weekend' audience, which is exactly who a live-music night or brewery tour is for. Date-night lists fit the taproom.</t>
        </is>
      </c>
      <c r="K18" s="5" t="inlineStr">
        <is>
          <t>Paid event/listing feature; creator night invite</t>
        </is>
      </c>
      <c r="L18" s="5" t="inlineStr">
        <is>
          <t>C · What's on / media</t>
        </is>
      </c>
      <c r="M18" s="5" t="n">
        <v>2</v>
      </c>
      <c r="N18" s="5" t="inlineStr">
        <is>
          <t>Confirm current follower count and audience age split.</t>
        </is>
      </c>
    </row>
    <row r="19">
      <c r="A19" s="4" t="n">
        <v>15</v>
      </c>
      <c r="B19" s="4" t="inlineStr">
        <is>
          <t>Urban List Gold Coast</t>
        </is>
      </c>
      <c r="C19" s="4" t="inlineStr">
        <is>
          <t>@urbanlistgc</t>
        </is>
      </c>
      <c r="D19" s="4" t="inlineStr">
        <is>
          <t>Instagram + web</t>
        </is>
      </c>
      <c r="E19" s="4" t="inlineStr">
        <is>
          <t>~81K IG (snippet)</t>
        </is>
      </c>
      <c r="F19" s="4" t="inlineStr">
        <is>
          <t>Gold Coast</t>
        </is>
      </c>
      <c r="G19" s="4" t="inlineStr">
        <is>
          <t>Restaurants, bars, events; has a 'best breweries 2026' list</t>
        </is>
      </c>
      <c r="H19" s="4" t="inlineStr">
        <is>
          <t>Not verified</t>
        </is>
      </c>
      <c r="I19" s="4" t="inlineStr">
        <is>
          <t>partnerships@theurbanlist.com; GC editor Isabel Croker</t>
        </is>
      </c>
      <c r="J19" s="4" t="inlineStr">
        <is>
          <t>The biggest local list publisher. Getting into the breweries list is an editorial pitch (free); paid partnership is a later, bigger spend.</t>
        </is>
      </c>
      <c r="K19" s="4" t="inlineStr">
        <is>
          <t>Editorial pitch; paid only in month 3 if budget allows</t>
        </is>
      </c>
      <c r="L19" s="4" t="inlineStr">
        <is>
          <t>C · What's on / media</t>
        </is>
      </c>
      <c r="M19" s="4" t="n">
        <v>7</v>
      </c>
      <c r="N19" s="4" t="inlineStr">
        <is>
          <t>Check whether Tap That is already in the brewery list.</t>
        </is>
      </c>
    </row>
    <row r="20">
      <c r="A20" s="5" t="n">
        <v>16</v>
      </c>
      <c r="B20" s="5" t="inlineStr">
        <is>
          <t>Must Do Gold Coast</t>
        </is>
      </c>
      <c r="C20" s="5" t="inlineStr">
        <is>
          <t>@mustdogoldcoast</t>
        </is>
      </c>
      <c r="D20" s="5" t="inlineStr">
        <is>
          <t>Instagram + Facebook + web</t>
        </is>
      </c>
      <c r="E20" s="5" t="inlineStr">
        <is>
          <t>~37K IG, ~57K FB (snippets)</t>
        </is>
      </c>
      <c r="F20" s="5" t="inlineStr">
        <is>
          <t>Gold Coast</t>
        </is>
      </c>
      <c r="G20" s="5" t="inlineStr">
        <is>
          <t>What's on and things to do; 2,000+ reviewed listings</t>
        </is>
      </c>
      <c r="H20" s="5" t="inlineStr">
        <is>
          <t>Not verified</t>
        </is>
      </c>
      <c r="I20" s="5" t="inlineStr">
        <is>
          <t>Advertise page: mustdogoldcoast.com/advertise</t>
        </is>
      </c>
      <c r="J20" s="5" t="inlineStr">
        <is>
          <t>Sells sponsored reviews with write-up, newsletter and socials. Facebook reach matters here because Facebook is where Tap That's older keg buyers are.</t>
        </is>
      </c>
      <c r="K20" s="5" t="inlineStr">
        <is>
          <t>Paid sponsored review</t>
        </is>
      </c>
      <c r="L20" s="5" t="inlineStr">
        <is>
          <t>C · What's on / media</t>
        </is>
      </c>
      <c r="M20" s="5" t="n">
        <v>8</v>
      </c>
      <c r="N20" s="5" t="inlineStr">
        <is>
          <t>Engagement not verified; ask for recent campaign stats.</t>
        </is>
      </c>
    </row>
    <row r="21">
      <c r="A21" s="4" t="n">
        <v>17</v>
      </c>
      <c r="B21" s="4" t="inlineStr">
        <is>
          <t>The Weekend Edition Gold Coast</t>
        </is>
      </c>
      <c r="C21" s="4" t="inlineStr">
        <is>
          <t>@theweekendeditiongoldcoast</t>
        </is>
      </c>
      <c r="D21" s="4" t="inlineStr">
        <is>
          <t>Instagram + newsletter</t>
        </is>
      </c>
      <c r="E21" s="4" t="inlineStr">
        <is>
          <t>~33K IG (snippet); newsletter 40K+ readers (their figure)</t>
        </is>
      </c>
      <c r="F21" s="4" t="inlineStr">
        <is>
          <t>Gold Coast</t>
        </is>
      </c>
      <c r="G21" s="4" t="inlineStr">
        <is>
          <t>Weekly events, food and drink guide</t>
        </is>
      </c>
      <c r="H21" s="4" t="inlineStr">
        <is>
          <t>Not verified</t>
        </is>
      </c>
      <c r="I21" s="4" t="inlineStr">
        <is>
          <t>Contact page (Solstice Media commercial team)</t>
        </is>
      </c>
      <c r="J21" s="4" t="inlineStr">
        <is>
          <t>The weekly newsletter reaches people planning their weekend. Good for a live music or tour event listing.</t>
        </is>
      </c>
      <c r="K21" s="4" t="inlineStr">
        <is>
          <t>Free event submission; paid newsletter spot</t>
        </is>
      </c>
      <c r="L21" s="4" t="inlineStr">
        <is>
          <t>C · What's on / media</t>
        </is>
      </c>
      <c r="M21" s="4" t="inlineStr"/>
      <c r="N21" s="4" t="inlineStr">
        <is>
          <t>Contact is via form only.</t>
        </is>
      </c>
    </row>
    <row r="22">
      <c r="A22" s="5" t="n">
        <v>18</v>
      </c>
      <c r="B22" s="5" t="inlineStr">
        <is>
          <t>The Guide (Gold Coast Magazine)</t>
        </is>
      </c>
      <c r="C22" s="5" t="inlineStr">
        <is>
          <t>@goldcoast.guide</t>
        </is>
      </c>
      <c r="D22" s="5" t="inlineStr">
        <is>
          <t>Instagram</t>
        </is>
      </c>
      <c r="E22" s="5" t="inlineStr">
        <is>
          <t>~12K IG (snippet)</t>
        </is>
      </c>
      <c r="F22" s="5" t="inlineStr">
        <is>
          <t>Gold Coast</t>
        </is>
      </c>
      <c r="G22" s="5" t="inlineStr">
        <is>
          <t>What's on, eat, play, stay</t>
        </is>
      </c>
      <c r="H22" s="5" t="inlineStr">
        <is>
          <t>Not verified</t>
        </is>
      </c>
      <c r="I22" s="5" t="inlineStr">
        <is>
          <t>gcmag.com.au/advertise-with-us</t>
        </is>
      </c>
      <c r="J22" s="5" t="inlineStr">
        <is>
          <t>Tied to the print magazine; a possible print-plus-social package.</t>
        </is>
      </c>
      <c r="K22" s="5" t="inlineStr">
        <is>
          <t>Paid (later)</t>
        </is>
      </c>
      <c r="L22" s="5" t="inlineStr">
        <is>
          <t>C · What's on / media</t>
        </is>
      </c>
      <c r="M22" s="5" t="inlineStr"/>
      <c r="N22" s="5" t="inlineStr">
        <is>
          <t>Engagement not verified.</t>
        </is>
      </c>
    </row>
    <row r="23">
      <c r="A23" s="4" t="n">
        <v>19</v>
      </c>
      <c r="B23" s="4" t="inlineStr">
        <is>
          <t>Gold Coast Eats</t>
        </is>
      </c>
      <c r="C23" s="4" t="inlineStr">
        <is>
          <t>@goldcoasteats</t>
        </is>
      </c>
      <c r="D23" s="4" t="inlineStr">
        <is>
          <t>Instagram</t>
        </is>
      </c>
      <c r="E23" s="4" t="inlineStr">
        <is>
          <t>~39K IG (snippet)</t>
        </is>
      </c>
      <c r="F23" s="4" t="inlineStr">
        <is>
          <t>Gold Coast</t>
        </is>
      </c>
      <c r="G23" s="4" t="inlineStr">
        <is>
          <t>'Best eats &amp; drinks' guide</t>
        </is>
      </c>
      <c r="H23" s="4" t="inlineStr">
        <is>
          <t>Not verified</t>
        </is>
      </c>
      <c r="I23" s="4" t="inlineStr">
        <is>
          <t>DM</t>
        </is>
      </c>
      <c r="J23" s="4" t="inlineStr">
        <is>
          <t>Big local food-and-drink page; worth a gifted visit if a live check shows it is active.</t>
        </is>
      </c>
      <c r="K23" s="4" t="inlineStr">
        <is>
          <t>Gifted / paid feature</t>
        </is>
      </c>
      <c r="L23" s="4" t="inlineStr">
        <is>
          <t>C · What's on / media</t>
        </is>
      </c>
      <c r="M23" s="4" t="inlineStr"/>
      <c r="N23" s="4" t="inlineStr">
        <is>
          <t>Recent activity not verified.</t>
        </is>
      </c>
    </row>
    <row r="24">
      <c r="A24" s="5" t="n">
        <v>20</v>
      </c>
      <c r="B24" s="5" t="inlineStr">
        <is>
          <t>Tweed Coast Guide</t>
        </is>
      </c>
      <c r="C24" s="5" t="inlineStr">
        <is>
          <t>@tweedcoastguide</t>
        </is>
      </c>
      <c r="D24" s="5" t="inlineStr">
        <is>
          <t>Instagram + Facebook + web</t>
        </is>
      </c>
      <c r="E24" s="5" t="inlineStr">
        <is>
          <t>~17K IG (snippet)</t>
        </is>
      </c>
      <c r="F24" s="5" t="inlineStr">
        <is>
          <t>Tweed Coast (Kingscliff, Cabarita)</t>
        </is>
      </c>
      <c r="G24" s="5" t="inlineStr">
        <is>
          <t>Visitor guide and local business reviews</t>
        </is>
      </c>
      <c r="H24" s="5" t="inlineStr">
        <is>
          <t>Not verified</t>
        </is>
      </c>
      <c r="I24" s="5" t="inlineStr">
        <is>
          <t>tweedcoastguide.com.au</t>
        </is>
      </c>
      <c r="J24" s="5" t="inlineStr">
        <is>
          <t>Burleigh is 20 minutes from the Tweed. Reaches Tweed locals and holidaymakers looking for things to do across the border.</t>
        </is>
      </c>
      <c r="K24" s="5" t="inlineStr">
        <is>
          <t>Gifted visit / paid feature</t>
        </is>
      </c>
      <c r="L24" s="5" t="inlineStr">
        <is>
          <t>D · Northern NSW</t>
        </is>
      </c>
      <c r="M24" s="5" t="inlineStr"/>
      <c r="N24" s="5" t="inlineStr">
        <is>
          <t>Recent activity not verified.</t>
        </is>
      </c>
    </row>
    <row r="25">
      <c r="A25" s="4" t="n">
        <v>21</v>
      </c>
      <c r="B25" s="4" t="inlineStr">
        <is>
          <t>Cat Jones, Byron Bay Eats</t>
        </is>
      </c>
      <c r="C25" s="4" t="inlineStr">
        <is>
          <t>@byron.bay.eats</t>
        </is>
      </c>
      <c r="D25" s="4" t="inlineStr">
        <is>
          <t>Instagram</t>
        </is>
      </c>
      <c r="E25" s="4" t="inlineStr">
        <is>
          <t>~13K IG (snippet)</t>
        </is>
      </c>
      <c r="F25" s="4" t="inlineStr">
        <is>
          <t>Byron Bay</t>
        </is>
      </c>
      <c r="G25" s="4" t="inlineStr">
        <is>
          <t>Food guide; writes the monthly foodie top 10 for byronbay.com</t>
        </is>
      </c>
      <c r="H25" s="4" t="inlineStr">
        <is>
          <t>Not verified</t>
        </is>
      </c>
      <c r="I25" s="4" t="inlineStr">
        <is>
          <t>DM or via byronbay.com</t>
        </is>
      </c>
      <c r="J25" s="4" t="inlineStr">
        <is>
          <t>Credible Northern Rivers food voice; a day-trip or brewery-trail angle.</t>
        </is>
      </c>
      <c r="K25" s="4" t="inlineStr">
        <is>
          <t>Gifted hosted visit (wave 2)</t>
        </is>
      </c>
      <c r="L25" s="4" t="inlineStr">
        <is>
          <t>D · Northern NSW</t>
        </is>
      </c>
      <c r="M25" s="4" t="inlineStr"/>
      <c r="N25" s="4" t="inlineStr">
        <is>
          <t>Byron is ~1 hr away: expect lower visit conversion.</t>
        </is>
      </c>
    </row>
    <row r="26">
      <c r="A26" s="5" t="n">
        <v>22</v>
      </c>
      <c r="B26" s="5" t="inlineStr">
        <is>
          <t>Byron What's On &amp; To Do</t>
        </is>
      </c>
      <c r="C26" s="5" t="inlineStr">
        <is>
          <t>@northernriversconnect</t>
        </is>
      </c>
      <c r="D26" s="5" t="inlineStr">
        <is>
          <t>Instagram</t>
        </is>
      </c>
      <c r="E26" s="5" t="inlineStr">
        <is>
          <t>Not verified</t>
        </is>
      </c>
      <c r="F26" s="5" t="inlineStr">
        <is>
          <t>Byron, Mullumbimby, Ballina</t>
        </is>
      </c>
      <c r="G26" s="5" t="inlineStr">
        <is>
          <t>Monthly what's-on roundups: gigs, markets</t>
        </is>
      </c>
      <c r="H26" s="5" t="inlineStr">
        <is>
          <t>Not verified</t>
        </is>
      </c>
      <c r="I26" s="5" t="inlineStr">
        <is>
          <t>DM</t>
        </is>
      </c>
      <c r="J26" s="5" t="inlineStr">
        <is>
          <t>Free listing for Tap That's live music and events in their monthly roundups.</t>
        </is>
      </c>
      <c r="K26" s="5" t="inlineStr">
        <is>
          <t>Free event listing</t>
        </is>
      </c>
      <c r="L26" s="5" t="inlineStr">
        <is>
          <t>D · Northern NSW</t>
        </is>
      </c>
      <c r="M26" s="5" t="inlineStr"/>
      <c r="N26" s="5" t="inlineStr">
        <is>
          <t>Follower count not verified.</t>
        </is>
      </c>
    </row>
    <row r="27">
      <c r="A27" s="4" t="n">
        <v>23</v>
      </c>
      <c r="B27" s="4" t="inlineStr">
        <is>
          <t>Magdalena Roze</t>
        </is>
      </c>
      <c r="C27" s="4" t="inlineStr">
        <is>
          <t>@magdalena_roze</t>
        </is>
      </c>
      <c r="D27" s="4" t="inlineStr">
        <is>
          <t>Instagram + Substack</t>
        </is>
      </c>
      <c r="E27" s="4" t="inlineStr">
        <is>
          <t>~89K IG (snippet)</t>
        </is>
      </c>
      <c r="F27" s="4" t="inlineStr">
        <is>
          <t>Byron Bay</t>
        </is>
      </c>
      <c r="G27" s="4" t="inlineStr">
        <is>
          <t>Journalist, TV presenter, cookbook author; Byron food guide incl. wine and pubs</t>
        </is>
      </c>
      <c r="H27" s="4" t="inlineStr">
        <is>
          <t>Not verified</t>
        </is>
      </c>
      <c r="I27" s="4" t="inlineStr">
        <is>
          <t>Via management / website</t>
        </is>
      </c>
      <c r="J27" s="4" t="inlineStr">
        <is>
          <t>An established name. Only relevant later, as a paid stretch for a food-matching or new-release story.</t>
        </is>
      </c>
      <c r="K27" s="4" t="inlineStr">
        <is>
          <t>Paid (stretch, month 3+)</t>
        </is>
      </c>
      <c r="L27" s="4" t="inlineStr">
        <is>
          <t>D · Northern NSW</t>
        </is>
      </c>
      <c r="M27" s="4" t="inlineStr"/>
      <c r="N27" s="4" t="inlineStr">
        <is>
          <t>Large and expensive; not a first-wave approach.</t>
        </is>
      </c>
    </row>
    <row r="28">
      <c r="A28" s="5" t="n">
        <v>24</v>
      </c>
      <c r="B28" s="5" t="inlineStr">
        <is>
          <t>Jon Wyeth</t>
        </is>
      </c>
      <c r="C28" s="5" t="inlineStr">
        <is>
          <t>@jon.wyeth</t>
        </is>
      </c>
      <c r="D28" s="5" t="inlineStr">
        <is>
          <t>TikTok + Instagram + YouTube</t>
        </is>
      </c>
      <c r="E28" s="5" t="inlineStr">
        <is>
          <t>131.5K TikTok (28 Sep 26); 94.6K IG (Modash, 18 Sep 26)</t>
        </is>
      </c>
      <c r="F28" s="5" t="inlineStr">
        <is>
          <t>Brisbane</t>
        </is>
      </c>
      <c r="G28" s="5" t="inlineStr">
        <is>
          <t>Food and 'weird stuff' vlogs; top reel was the Meatstock BBQ festival</t>
        </is>
      </c>
      <c r="H28" s="5" t="inlineStr">
        <is>
          <t>1.66% IG ER; audience 52% male, Brisbane 32% / Gold Coast 8%</t>
        </is>
      </c>
      <c r="I28" s="5" t="inlineStr">
        <is>
          <t>talent@neuralle.com</t>
        </is>
      </c>
      <c r="J28" s="5" t="inlineStr">
        <is>
          <t>The paid stretch for the home keg system: a 'we put a brewery tap in the backyard' piece for a big, male-leaning SEQ audience that turned up for BBQ content.</t>
        </is>
      </c>
      <c r="K28" s="5" t="inlineStr">
        <is>
          <t>Paid collab (keg system install at home)</t>
        </is>
      </c>
      <c r="L28" s="5" t="inlineStr">
        <is>
          <t>E · Home &amp; outdoor</t>
        </is>
      </c>
      <c r="M28" s="5" t="n">
        <v>9</v>
      </c>
      <c r="N28" s="5" t="inlineStr">
        <is>
          <t>Managed talent, so budget accordingly. Confirm 25+ and audience age.</t>
        </is>
      </c>
    </row>
    <row r="29">
      <c r="A29" s="4" t="n">
        <v>25</v>
      </c>
      <c r="B29" s="4" t="inlineStr">
        <is>
          <t>Mick Viller, The Camp Oven Cook</t>
        </is>
      </c>
      <c r="C29" s="4" t="inlineStr">
        <is>
          <t>@thecampovencook</t>
        </is>
      </c>
      <c r="D29" s="4" t="inlineStr">
        <is>
          <t>TikTok + YouTube + Facebook + IG</t>
        </is>
      </c>
      <c r="E29" s="4" t="inlineStr">
        <is>
          <t>5.5K TikTok; 3.5K YouTube (28 Sep 26); ~4.4K FB (snippet)</t>
        </is>
      </c>
      <c r="F29" s="4" t="inlineStr">
        <is>
          <t>South East Queensland</t>
        </is>
      </c>
      <c r="G29" s="4" t="inlineStr">
        <is>
          <t>Camp-oven and bush cooking; presents at caravan and camping shows</t>
        </is>
      </c>
      <c r="H29" s="4" t="inlineStr">
        <is>
          <t>Not verified</t>
        </is>
      </c>
      <c r="I29" s="4" t="inlineStr">
        <is>
          <t>thecampovencook.com.au</t>
        </is>
      </c>
      <c r="J29" s="4" t="inlineStr">
        <is>
          <t>Older male camping audience, the heart of the keg buyer, and a natural fit for the Benchy portable tap: camp set up, cooking done, a cold one after.</t>
        </is>
      </c>
      <c r="K29" s="4" t="inlineStr">
        <is>
          <t>Gifted Benchy trial + paid video</t>
        </is>
      </c>
      <c r="L29" s="4" t="inlineStr">
        <is>
          <t>E · Home &amp; outdoor</t>
        </is>
      </c>
      <c r="M29" s="4" t="n">
        <v>10</v>
      </c>
      <c r="N29" s="4" t="inlineStr">
        <is>
          <t>ABAC: never a pour near a vehicle or boat in use; the day is done.</t>
        </is>
      </c>
    </row>
    <row r="30">
      <c r="A30" s="5" t="n">
        <v>26</v>
      </c>
      <c r="B30" s="5" t="inlineStr">
        <is>
          <t>Jess &amp; Jed, Wild Road Wanderers</t>
        </is>
      </c>
      <c r="C30" s="5" t="inlineStr">
        <is>
          <t>@wildroadwanderers</t>
        </is>
      </c>
      <c r="D30" s="5" t="inlineStr">
        <is>
          <t>Instagram + TikTok</t>
        </is>
      </c>
      <c r="E30" s="5" t="inlineStr">
        <is>
          <t>~55K IG (snippet); 42K TikTok (28 Sep 26)</t>
        </is>
      </c>
      <c r="F30" s="5" t="inlineStr">
        <is>
          <t>Sunshine Coast</t>
        </is>
      </c>
      <c r="G30" s="5" t="inlineStr">
        <is>
          <t>Troopy 4WD camping, photography</t>
        </is>
      </c>
      <c r="H30" s="5" t="inlineStr">
        <is>
          <t>Not verified</t>
        </is>
      </c>
      <c r="I30" s="5" t="inlineStr">
        <is>
          <t>wildroadwanderers@gmail.com</t>
        </is>
      </c>
      <c r="J30" s="5" t="inlineStr">
        <is>
          <t>Strong 4WD audience for the Benchy. Held back because their content includes young children.</t>
        </is>
      </c>
      <c r="K30" s="5" t="inlineStr">
        <is>
          <t>Hold: Benchy only, adults-only shoot</t>
        </is>
      </c>
      <c r="L30" s="5" t="inlineStr">
        <is>
          <t>E · Home &amp; outdoor</t>
        </is>
      </c>
      <c r="M30" s="5" t="inlineStr"/>
      <c r="N30" s="5" t="inlineStr">
        <is>
          <t>ABAC flag: family content with kids. Only if the brief keeps children out of every alcohol shot and the audience check passes 80% adult.</t>
        </is>
      </c>
    </row>
    <row r="31">
      <c r="A31" s="4" t="n">
        <v>27</v>
      </c>
      <c r="B31" s="4" t="inlineStr">
        <is>
          <t>Reese Bros (Kell &amp; Tom Reese)</t>
        </is>
      </c>
      <c r="C31" s="4" t="inlineStr">
        <is>
          <t>@reesebros</t>
        </is>
      </c>
      <c r="D31" s="4" t="inlineStr">
        <is>
          <t>TikTok + Instagram + podcast</t>
        </is>
      </c>
      <c r="E31" s="4" t="inlineStr">
        <is>
          <t>1.6M TikTok (28 Sep 26); IG Kell 139K / Tom 113K (Modash)</t>
        </is>
      </c>
      <c r="F31" s="4" t="inlineStr">
        <is>
          <t>Burleigh / Gold Coast</t>
        </is>
      </c>
      <c r="G31" s="4" t="inlineStr">
        <is>
          <t>Aussie comedy skits</t>
        </is>
      </c>
      <c r="H31" s="4" t="inlineStr">
        <is>
          <t>High: Kell 21% IG ER (Modash)</t>
        </is>
      </c>
      <c r="I31" s="4" t="inlineStr">
        <is>
          <t>management@reesebros.org</t>
        </is>
      </c>
      <c r="J31" s="4" t="inlineStr">
        <is>
          <t>Burleigh locals with huge reach. Park until the programme has proved itself; a skit brief is hard to keep ABAC-safe.</t>
        </is>
      </c>
      <c r="K31" s="4" t="inlineStr">
        <is>
          <t>Park (paid, 2027 at earliest)</t>
        </is>
      </c>
      <c r="L31" s="4" t="inlineStr">
        <is>
          <t>E · Home &amp; outdoor</t>
        </is>
      </c>
      <c r="M31" s="4" t="inlineStr"/>
      <c r="N31" s="4" t="inlineStr">
        <is>
          <t>Ages not verified. Comedy around drinking carries ABAC risk (drinking played for laughs).</t>
        </is>
      </c>
    </row>
  </sheetData>
  <autoFilter ref="A4:N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="10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30" customWidth="1" min="4" max="4"/>
    <col width="60" customWidth="1" min="5" max="5"/>
    <col width="32" customWidth="1" min="6" max="6"/>
  </cols>
  <sheetData>
    <row r="1">
      <c r="A1" s="1" t="inlineStr">
        <is>
          <t>Top 10 to approach first</t>
        </is>
      </c>
    </row>
    <row r="2">
      <c r="A2" s="2" t="inlineStr">
        <is>
          <t>Wave 1 outreach, week of 5 October 2026.</t>
        </is>
      </c>
    </row>
    <row r="4">
      <c r="A4" s="3" t="inlineStr">
        <is>
          <t>Rank</t>
        </is>
      </c>
      <c r="B4" s="3" t="inlineStr">
        <is>
          <t>Name</t>
        </is>
      </c>
      <c r="C4" s="3" t="inlineStr">
        <is>
          <t>Handle</t>
        </is>
      </c>
      <c r="D4" s="3" t="inlineStr">
        <is>
          <t>Opportunity</t>
        </is>
      </c>
      <c r="E4" s="3" t="inlineStr">
        <is>
          <t>Why first</t>
        </is>
      </c>
      <c r="F4" s="3" t="inlineStr">
        <is>
          <t>Contact</t>
        </is>
      </c>
    </row>
    <row r="5">
      <c r="A5" s="4" t="n">
        <v>1</v>
      </c>
      <c r="B5" s="4" t="inlineStr">
        <is>
          <t>Inside Gold Coast</t>
        </is>
      </c>
      <c r="C5" s="4" t="inlineStr">
        <is>
          <t>@insidegoldcoast</t>
        </is>
      </c>
      <c r="D5" s="4" t="inlineStr">
        <is>
          <t>Editorial pitch first, then paid feature</t>
        </is>
      </c>
      <c r="E5" s="4" t="inlineStr">
        <is>
          <t>Published a Gold Coast brewery checklist in Sep 26 that leaves Tap That out. The pitch writes itself: get added, then a paid feature on the taproom and events.</t>
        </is>
      </c>
      <c r="F5" s="4" t="inlineStr">
        <is>
          <t>editor@insidegoldcoast.com.au; 07 5576 3044</t>
        </is>
      </c>
    </row>
    <row r="6">
      <c r="A6" s="5" t="n">
        <v>2</v>
      </c>
      <c r="B6" s="5" t="inlineStr">
        <is>
          <t>What's On Goldy</t>
        </is>
      </c>
      <c r="C6" s="5" t="inlineStr">
        <is>
          <t>@whatsongoldy</t>
        </is>
      </c>
      <c r="D6" s="5" t="inlineStr">
        <is>
          <t>Paid event/listing feature; creator night invite</t>
        </is>
      </c>
      <c r="E6" s="5" t="inlineStr">
        <is>
          <t>The 'things to do this weekend' audience, which is exactly who a live-music night or brewery tour is for. Date-night lists fit the taproom.</t>
        </is>
      </c>
      <c r="F6" s="5" t="inlineStr">
        <is>
          <t>hello@whatsongoldy.com</t>
        </is>
      </c>
    </row>
    <row r="7">
      <c r="A7" s="4" t="n">
        <v>3</v>
      </c>
      <c r="B7" s="4" t="inlineStr">
        <is>
          <t>Ethan Cox (Brit in Australia)</t>
        </is>
      </c>
      <c r="C7" s="4" t="inlineStr">
        <is>
          <t>@ethan.cox01</t>
        </is>
      </c>
      <c r="D7" s="4" t="inlineStr">
        <is>
          <t>Gifted hosted visit, then paid if the first piece performs</t>
        </is>
      </c>
      <c r="E7" s="4" t="inlineStr">
        <is>
          <t>Views run well past his follower count, and he already does dinner-and-drinks venue content (Burly Gin, Sep 26). A 'best brewery taproom in Burleigh' video is his format exactly.</t>
        </is>
      </c>
      <c r="F7" s="4" t="inlineStr">
        <is>
          <t>ethancoxcontent@outlook.com</t>
        </is>
      </c>
    </row>
    <row r="8">
      <c r="A8" s="5" t="n">
        <v>4</v>
      </c>
      <c r="B8" s="5" t="inlineStr">
        <is>
          <t>Lauren</t>
        </is>
      </c>
      <c r="C8" s="5" t="inlineStr">
        <is>
          <t>@laurenguides</t>
        </is>
      </c>
      <c r="D8" s="5" t="inlineStr">
        <is>
          <t>Gifted hosted visit; creator night invite</t>
        </is>
      </c>
      <c r="E8" s="5" t="inlineStr">
        <is>
          <t>Already covers Burleigh drinking venues (Conka, Paloma) for a local audience. Things-to-do framing fits the taproom, live music and tours.</t>
        </is>
      </c>
      <c r="F8" s="5" t="inlineStr">
        <is>
          <t>laurenguides@outlook.com</t>
        </is>
      </c>
    </row>
    <row r="9">
      <c r="A9" s="4" t="n">
        <v>5</v>
      </c>
      <c r="B9" s="4" t="inlineStr">
        <is>
          <t>Lucy Klodinsky</t>
        </is>
      </c>
      <c r="C9" s="4" t="inlineStr">
        <is>
          <t>@badgalfoody</t>
        </is>
      </c>
      <c r="D9" s="4" t="inlineStr">
        <is>
          <t>Gifted hosted visit</t>
        </is>
      </c>
      <c r="E9" s="4" t="inlineStr">
        <is>
          <t>Consistent daily GC reviewer with an Instagram audience; a Tap That visit plus Ammazza pizza and a tasting paddle is an easy review.</t>
        </is>
      </c>
      <c r="F9" s="4" t="inlineStr">
        <is>
          <t>DM (business link in bio)</t>
        </is>
      </c>
    </row>
    <row r="10">
      <c r="A10" s="5" t="n">
        <v>6</v>
      </c>
      <c r="B10" s="5" t="inlineStr">
        <is>
          <t>Gold Coast foodie</t>
        </is>
      </c>
      <c r="C10" s="5" t="inlineStr">
        <is>
          <t>@gc_eats</t>
        </is>
      </c>
      <c r="D10" s="5" t="inlineStr">
        <is>
          <t>Gifted hosted visit</t>
        </is>
      </c>
      <c r="E10" s="5" t="inlineStr">
        <is>
          <t>Small, but the engagement rate is the best on the list: the micro-influencer profile the brief asks for.</t>
        </is>
      </c>
      <c r="F10" s="5" t="inlineStr">
        <is>
          <t>gc.eatss@gmail.com</t>
        </is>
      </c>
    </row>
    <row r="11">
      <c r="A11" s="4" t="n">
        <v>7</v>
      </c>
      <c r="B11" s="4" t="inlineStr">
        <is>
          <t>Urban List Gold Coast</t>
        </is>
      </c>
      <c r="C11" s="4" t="inlineStr">
        <is>
          <t>@urbanlistgc</t>
        </is>
      </c>
      <c r="D11" s="4" t="inlineStr">
        <is>
          <t>Editorial pitch; paid only in month 3 if budget allows</t>
        </is>
      </c>
      <c r="E11" s="4" t="inlineStr">
        <is>
          <t>The biggest local list publisher. Getting into the breweries list is an editorial pitch (free); paid partnership is a later, bigger spend.</t>
        </is>
      </c>
      <c r="F11" s="4" t="inlineStr">
        <is>
          <t>partnerships@theurbanlist.com; GC editor Isabel Croker</t>
        </is>
      </c>
    </row>
    <row r="12">
      <c r="A12" s="5" t="n">
        <v>8</v>
      </c>
      <c r="B12" s="5" t="inlineStr">
        <is>
          <t>Must Do Gold Coast</t>
        </is>
      </c>
      <c r="C12" s="5" t="inlineStr">
        <is>
          <t>@mustdogoldcoast</t>
        </is>
      </c>
      <c r="D12" s="5" t="inlineStr">
        <is>
          <t>Paid sponsored review</t>
        </is>
      </c>
      <c r="E12" s="5" t="inlineStr">
        <is>
          <t>Sells sponsored reviews with write-up, newsletter and socials. Facebook reach matters here because Facebook is where Tap That's older keg buyers are.</t>
        </is>
      </c>
      <c r="F12" s="5" t="inlineStr">
        <is>
          <t>Advertise page: mustdogoldcoast.com/advertise</t>
        </is>
      </c>
    </row>
    <row r="13">
      <c r="A13" s="4" t="n">
        <v>9</v>
      </c>
      <c r="B13" s="4" t="inlineStr">
        <is>
          <t>Jon Wyeth</t>
        </is>
      </c>
      <c r="C13" s="4" t="inlineStr">
        <is>
          <t>@jon.wyeth</t>
        </is>
      </c>
      <c r="D13" s="4" t="inlineStr">
        <is>
          <t>Paid collab (keg system install at home)</t>
        </is>
      </c>
      <c r="E13" s="4" t="inlineStr">
        <is>
          <t>The paid stretch for the home keg system: a 'we put a brewery tap in the backyard' piece for a big, male-leaning SEQ audience that turned up for BBQ content.</t>
        </is>
      </c>
      <c r="F13" s="4" t="inlineStr">
        <is>
          <t>talent@neuralle.com</t>
        </is>
      </c>
    </row>
    <row r="14">
      <c r="A14" s="5" t="n">
        <v>10</v>
      </c>
      <c r="B14" s="5" t="inlineStr">
        <is>
          <t>Mick Viller, The Camp Oven Cook</t>
        </is>
      </c>
      <c r="C14" s="5" t="inlineStr">
        <is>
          <t>@thecampovencook</t>
        </is>
      </c>
      <c r="D14" s="5" t="inlineStr">
        <is>
          <t>Gifted Benchy trial + paid video</t>
        </is>
      </c>
      <c r="E14" s="5" t="inlineStr">
        <is>
          <t>Older male camping audience, the heart of the keg buyer, and a natural fit for the Benchy portable tap: camp set up, cooking done, a cold one after.</t>
        </is>
      </c>
      <c r="F14" s="5" t="inlineStr">
        <is>
          <t>thecampovencook.com.au</t>
        </is>
      </c>
    </row>
  </sheetData>
  <autoFilter ref="A4:F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zoomScale="10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0" customWidth="1" min="4" max="4"/>
    <col width="20" customWidth="1" min="5" max="5"/>
    <col width="12" customWidth="1" min="6" max="6"/>
    <col width="12" customWidth="1" min="7" max="7"/>
    <col width="12" customWidth="1" min="8" max="8"/>
    <col width="16" customWidth="1" min="9" max="9"/>
    <col width="14" customWidth="1" min="10" max="10"/>
    <col width="30" customWidth="1" min="11" max="11"/>
    <col width="12" customWidth="1" min="12" max="12"/>
    <col width="14" customWidth="1" min="13" max="13"/>
    <col width="12" customWidth="1" min="14" max="14"/>
    <col width="14" customWidth="1" min="15" max="15"/>
    <col width="28" customWidth="1" min="16" max="16"/>
    <col width="30" customWidth="1" min="17" max="17"/>
  </cols>
  <sheetData>
    <row r="1">
      <c r="A1" s="1" t="inlineStr">
        <is>
          <t>Outreach &amp; deal tracker</t>
        </is>
      </c>
    </row>
    <row r="2">
      <c r="A2" s="2" t="inlineStr">
        <is>
          <t>One row per creator. Status moves left to right; nothing is scheduled until the pre-checks column says Yes.</t>
        </is>
      </c>
    </row>
    <row r="3"/>
    <row r="4">
      <c r="A4" s="3" t="inlineStr">
        <is>
          <t>#</t>
        </is>
      </c>
      <c r="B4" s="3" t="inlineStr">
        <is>
          <t>Handle</t>
        </is>
      </c>
      <c r="C4" s="3" t="inlineStr">
        <is>
          <t>Tier</t>
        </is>
      </c>
      <c r="D4" s="3" t="inlineStr">
        <is>
          <t>Owner</t>
        </is>
      </c>
      <c r="E4" s="3" t="inlineStr">
        <is>
          <t>Pre-checks done (age 25+, 80% adult, 6-mo lookback)</t>
        </is>
      </c>
      <c r="F4" s="3" t="inlineStr">
        <is>
          <t>Date contacted</t>
        </is>
      </c>
      <c r="G4" s="3" t="inlineStr">
        <is>
          <t>Channel (DM/email)</t>
        </is>
      </c>
      <c r="H4" s="3" t="inlineStr">
        <is>
          <t>Follow-up date</t>
        </is>
      </c>
      <c r="I4" s="3" t="inlineStr">
        <is>
          <t>Status</t>
        </is>
      </c>
      <c r="J4" s="3" t="inlineStr">
        <is>
          <t>Deal type</t>
        </is>
      </c>
      <c r="K4" s="3" t="inlineStr">
        <is>
          <t>Agreed deliverables</t>
        </is>
      </c>
      <c r="L4" s="3" t="inlineStr">
        <is>
          <t>Fee / value ($)</t>
        </is>
      </c>
      <c r="M4" s="3" t="inlineStr">
        <is>
          <t>Visit / event date</t>
        </is>
      </c>
      <c r="N4" s="3" t="inlineStr">
        <is>
          <t>Agreement signed</t>
        </is>
      </c>
      <c r="O4" s="3" t="inlineStr">
        <is>
          <t>Creator code</t>
        </is>
      </c>
      <c r="P4" s="3" t="inlineStr">
        <is>
          <t>TikTok answer (on TikTok One? alcohol collabs before?)</t>
        </is>
      </c>
      <c r="Q4" s="3" t="inlineStr">
        <is>
          <t>Notes</t>
        </is>
      </c>
    </row>
    <row r="5">
      <c r="A5" s="4" t="n">
        <v>1</v>
      </c>
      <c r="B5" s="4" t="inlineStr">
        <is>
          <t>@ethan.cox01</t>
        </is>
      </c>
      <c r="C5" s="4" t="inlineStr">
        <is>
          <t>A · Food &amp; drink</t>
        </is>
      </c>
      <c r="D5" s="4" t="inlineStr">
        <is>
          <t>Lizelle</t>
        </is>
      </c>
      <c r="E5" s="4" t="inlineStr"/>
      <c r="F5" s="4" t="inlineStr"/>
      <c r="G5" s="4" t="inlineStr"/>
      <c r="H5" s="4" t="inlineStr"/>
      <c r="I5" s="4" t="inlineStr">
        <is>
          <t>Not contacted</t>
        </is>
      </c>
      <c r="J5" s="4" t="inlineStr"/>
      <c r="K5" s="4" t="inlineStr"/>
      <c r="L5" s="4" t="inlineStr"/>
      <c r="M5" s="4" t="inlineStr"/>
      <c r="N5" s="4" t="inlineStr"/>
      <c r="O5" s="4" t="inlineStr"/>
      <c r="P5" s="4" t="n"/>
      <c r="Q5" s="4" t="inlineStr"/>
    </row>
    <row r="6">
      <c r="A6" s="5" t="n">
        <v>2</v>
      </c>
      <c r="B6" s="5" t="inlineStr">
        <is>
          <t>@laurenguides</t>
        </is>
      </c>
      <c r="C6" s="5" t="inlineStr">
        <is>
          <t>A · Food &amp; drink</t>
        </is>
      </c>
      <c r="D6" s="5" t="inlineStr">
        <is>
          <t>Lizelle</t>
        </is>
      </c>
      <c r="E6" s="5" t="inlineStr"/>
      <c r="F6" s="5" t="inlineStr"/>
      <c r="G6" s="5" t="inlineStr"/>
      <c r="H6" s="5" t="inlineStr"/>
      <c r="I6" s="5" t="inlineStr">
        <is>
          <t>Not contacted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n"/>
      <c r="Q6" s="5" t="inlineStr"/>
    </row>
    <row r="7">
      <c r="A7" s="4" t="n">
        <v>3</v>
      </c>
      <c r="B7" s="4" t="inlineStr">
        <is>
          <t>@badgalfoody</t>
        </is>
      </c>
      <c r="C7" s="4" t="inlineStr">
        <is>
          <t>A · Food &amp; drink</t>
        </is>
      </c>
      <c r="D7" s="4" t="inlineStr">
        <is>
          <t>Lizelle</t>
        </is>
      </c>
      <c r="E7" s="4" t="inlineStr"/>
      <c r="F7" s="4" t="inlineStr"/>
      <c r="G7" s="4" t="inlineStr"/>
      <c r="H7" s="4" t="inlineStr"/>
      <c r="I7" s="4" t="inlineStr">
        <is>
          <t>Not contacted</t>
        </is>
      </c>
      <c r="J7" s="4" t="inlineStr"/>
      <c r="K7" s="4" t="inlineStr"/>
      <c r="L7" s="4" t="inlineStr"/>
      <c r="M7" s="4" t="inlineStr"/>
      <c r="N7" s="4" t="inlineStr"/>
      <c r="O7" s="4" t="inlineStr"/>
      <c r="P7" s="4" t="n"/>
      <c r="Q7" s="4" t="inlineStr"/>
    </row>
    <row r="8">
      <c r="A8" s="5" t="n">
        <v>4</v>
      </c>
      <c r="B8" s="5" t="inlineStr">
        <is>
          <t>@gc_eats</t>
        </is>
      </c>
      <c r="C8" s="5" t="inlineStr">
        <is>
          <t>A · Food &amp; drink</t>
        </is>
      </c>
      <c r="D8" s="5" t="inlineStr">
        <is>
          <t>Lizelle</t>
        </is>
      </c>
      <c r="E8" s="5" t="inlineStr"/>
      <c r="F8" s="5" t="inlineStr"/>
      <c r="G8" s="5" t="inlineStr"/>
      <c r="H8" s="5" t="inlineStr"/>
      <c r="I8" s="5" t="inlineStr">
        <is>
          <t>Not contacted</t>
        </is>
      </c>
      <c r="J8" s="5" t="inlineStr"/>
      <c r="K8" s="5" t="inlineStr"/>
      <c r="L8" s="5" t="inlineStr"/>
      <c r="M8" s="5" t="inlineStr"/>
      <c r="N8" s="5" t="inlineStr"/>
      <c r="O8" s="5" t="inlineStr"/>
      <c r="P8" s="5" t="n"/>
      <c r="Q8" s="5" t="inlineStr"/>
    </row>
    <row r="9">
      <c r="A9" s="4" t="n">
        <v>5</v>
      </c>
      <c r="B9" s="4" t="inlineStr">
        <is>
          <t>@thefoodhedonist</t>
        </is>
      </c>
      <c r="C9" s="4" t="inlineStr">
        <is>
          <t>A · Food &amp; drink</t>
        </is>
      </c>
      <c r="D9" s="4" t="inlineStr">
        <is>
          <t>Lizelle</t>
        </is>
      </c>
      <c r="E9" s="4" t="inlineStr"/>
      <c r="F9" s="4" t="inlineStr"/>
      <c r="G9" s="4" t="inlineStr"/>
      <c r="H9" s="4" t="inlineStr"/>
      <c r="I9" s="4" t="inlineStr">
        <is>
          <t>Not contacted</t>
        </is>
      </c>
      <c r="J9" s="4" t="inlineStr"/>
      <c r="K9" s="4" t="inlineStr"/>
      <c r="L9" s="4" t="inlineStr"/>
      <c r="M9" s="4" t="inlineStr"/>
      <c r="N9" s="4" t="inlineStr"/>
      <c r="O9" s="4" t="inlineStr"/>
      <c r="P9" s="4" t="n"/>
      <c r="Q9" s="4" t="inlineStr"/>
    </row>
    <row r="10">
      <c r="A10" s="5" t="n">
        <v>6</v>
      </c>
      <c r="B10" s="5" t="inlineStr">
        <is>
          <t>@goldcoastfoodie</t>
        </is>
      </c>
      <c r="C10" s="5" t="inlineStr">
        <is>
          <t>A · Food &amp; drink</t>
        </is>
      </c>
      <c r="D10" s="5" t="inlineStr">
        <is>
          <t>Lizelle</t>
        </is>
      </c>
      <c r="E10" s="5" t="inlineStr"/>
      <c r="F10" s="5" t="inlineStr"/>
      <c r="G10" s="5" t="inlineStr"/>
      <c r="H10" s="5" t="inlineStr"/>
      <c r="I10" s="5" t="inlineStr">
        <is>
          <t>Not contacted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n"/>
      <c r="Q10" s="5" t="inlineStr"/>
    </row>
    <row r="11">
      <c r="A11" s="4" t="n">
        <v>7</v>
      </c>
      <c r="B11" s="4" t="inlineStr">
        <is>
          <t>@foodfantasia_</t>
        </is>
      </c>
      <c r="C11" s="4" t="inlineStr">
        <is>
          <t>A · Food &amp; drink</t>
        </is>
      </c>
      <c r="D11" s="4" t="inlineStr">
        <is>
          <t>Lizelle</t>
        </is>
      </c>
      <c r="E11" s="4" t="inlineStr"/>
      <c r="F11" s="4" t="inlineStr"/>
      <c r="G11" s="4" t="inlineStr"/>
      <c r="H11" s="4" t="inlineStr"/>
      <c r="I11" s="4" t="inlineStr">
        <is>
          <t>Not contacted</t>
        </is>
      </c>
      <c r="J11" s="4" t="inlineStr"/>
      <c r="K11" s="4" t="inlineStr"/>
      <c r="L11" s="4" t="inlineStr"/>
      <c r="M11" s="4" t="inlineStr"/>
      <c r="N11" s="4" t="inlineStr"/>
      <c r="O11" s="4" t="inlineStr"/>
      <c r="P11" s="4" t="n"/>
      <c r="Q11" s="4" t="inlineStr"/>
    </row>
    <row r="12">
      <c r="A12" s="5" t="n">
        <v>8</v>
      </c>
      <c r="B12" s="5" t="inlineStr">
        <is>
          <t>@fantasticfeastz</t>
        </is>
      </c>
      <c r="C12" s="5" t="inlineStr">
        <is>
          <t>A · Food &amp; drink</t>
        </is>
      </c>
      <c r="D12" s="5" t="inlineStr">
        <is>
          <t>Lizelle</t>
        </is>
      </c>
      <c r="E12" s="5" t="inlineStr"/>
      <c r="F12" s="5" t="inlineStr"/>
      <c r="G12" s="5" t="inlineStr"/>
      <c r="H12" s="5" t="inlineStr"/>
      <c r="I12" s="5" t="inlineStr">
        <is>
          <t>Not contacted</t>
        </is>
      </c>
      <c r="J12" s="5" t="inlineStr"/>
      <c r="K12" s="5" t="inlineStr"/>
      <c r="L12" s="5" t="inlineStr"/>
      <c r="M12" s="5" t="inlineStr"/>
      <c r="N12" s="5" t="inlineStr"/>
      <c r="O12" s="5" t="inlineStr"/>
      <c r="P12" s="5" t="n"/>
      <c r="Q12" s="5" t="inlineStr"/>
    </row>
    <row r="13">
      <c r="A13" s="4" t="n">
        <v>9</v>
      </c>
      <c r="B13" s="4" t="inlineStr">
        <is>
          <t>@foodieofgoldcoast</t>
        </is>
      </c>
      <c r="C13" s="4" t="inlineStr">
        <is>
          <t>A · Food &amp; drink</t>
        </is>
      </c>
      <c r="D13" s="4" t="inlineStr">
        <is>
          <t>Lizelle</t>
        </is>
      </c>
      <c r="E13" s="4" t="inlineStr"/>
      <c r="F13" s="4" t="inlineStr"/>
      <c r="G13" s="4" t="inlineStr"/>
      <c r="H13" s="4" t="inlineStr"/>
      <c r="I13" s="4" t="inlineStr">
        <is>
          <t>Not contacted</t>
        </is>
      </c>
      <c r="J13" s="4" t="inlineStr"/>
      <c r="K13" s="4" t="inlineStr"/>
      <c r="L13" s="4" t="inlineStr"/>
      <c r="M13" s="4" t="inlineStr"/>
      <c r="N13" s="4" t="inlineStr"/>
      <c r="O13" s="4" t="inlineStr"/>
      <c r="P13" s="4" t="n"/>
      <c r="Q13" s="4" t="inlineStr"/>
    </row>
    <row r="14">
      <c r="A14" s="5" t="n">
        <v>10</v>
      </c>
      <c r="B14" s="5" t="inlineStr">
        <is>
          <t>@foodgoldcoast</t>
        </is>
      </c>
      <c r="C14" s="5" t="inlineStr">
        <is>
          <t>A · Food &amp; drink</t>
        </is>
      </c>
      <c r="D14" s="5" t="inlineStr">
        <is>
          <t>Lizelle</t>
        </is>
      </c>
      <c r="E14" s="5" t="inlineStr"/>
      <c r="F14" s="5" t="inlineStr"/>
      <c r="G14" s="5" t="inlineStr"/>
      <c r="H14" s="5" t="inlineStr"/>
      <c r="I14" s="5" t="inlineStr">
        <is>
          <t>Not contacted</t>
        </is>
      </c>
      <c r="J14" s="5" t="inlineStr"/>
      <c r="K14" s="5" t="inlineStr"/>
      <c r="L14" s="5" t="inlineStr"/>
      <c r="M14" s="5" t="inlineStr"/>
      <c r="N14" s="5" t="inlineStr"/>
      <c r="O14" s="5" t="inlineStr"/>
      <c r="P14" s="5" t="n"/>
      <c r="Q14" s="5" t="inlineStr"/>
    </row>
    <row r="15">
      <c r="A15" s="4" t="n">
        <v>11</v>
      </c>
      <c r="B15" s="4" t="inlineStr">
        <is>
          <t>@thethoughtfultipple</t>
        </is>
      </c>
      <c r="C15" s="4" t="inlineStr">
        <is>
          <t>B · Craft beer</t>
        </is>
      </c>
      <c r="D15" s="4" t="inlineStr">
        <is>
          <t>Lizelle</t>
        </is>
      </c>
      <c r="E15" s="4" t="inlineStr"/>
      <c r="F15" s="4" t="inlineStr"/>
      <c r="G15" s="4" t="inlineStr"/>
      <c r="H15" s="4" t="inlineStr"/>
      <c r="I15" s="4" t="inlineStr">
        <is>
          <t>Not contacted</t>
        </is>
      </c>
      <c r="J15" s="4" t="inlineStr"/>
      <c r="K15" s="4" t="inlineStr"/>
      <c r="L15" s="4" t="inlineStr"/>
      <c r="M15" s="4" t="inlineStr"/>
      <c r="N15" s="4" t="inlineStr"/>
      <c r="O15" s="4" t="inlineStr"/>
      <c r="P15" s="4" t="n"/>
      <c r="Q15" s="4" t="inlineStr"/>
    </row>
    <row r="16">
      <c r="A16" s="5" t="n">
        <v>12</v>
      </c>
      <c r="B16" s="5" t="inlineStr">
        <is>
          <t>@craftyfollow</t>
        </is>
      </c>
      <c r="C16" s="5" t="inlineStr">
        <is>
          <t>B · Craft beer</t>
        </is>
      </c>
      <c r="D16" s="5" t="inlineStr">
        <is>
          <t>Lizelle</t>
        </is>
      </c>
      <c r="E16" s="5" t="inlineStr"/>
      <c r="F16" s="5" t="inlineStr"/>
      <c r="G16" s="5" t="inlineStr"/>
      <c r="H16" s="5" t="inlineStr"/>
      <c r="I16" s="5" t="inlineStr">
        <is>
          <t>Not contacted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n"/>
      <c r="Q16" s="5" t="inlineStr"/>
    </row>
    <row r="17">
      <c r="A17" s="4" t="n">
        <v>13</v>
      </c>
      <c r="B17" s="4" t="inlineStr">
        <is>
          <t>@insidegoldcoast</t>
        </is>
      </c>
      <c r="C17" s="4" t="inlineStr">
        <is>
          <t>C · What's on / media</t>
        </is>
      </c>
      <c r="D17" s="4" t="inlineStr">
        <is>
          <t>Lizelle</t>
        </is>
      </c>
      <c r="E17" s="4" t="inlineStr"/>
      <c r="F17" s="4" t="inlineStr"/>
      <c r="G17" s="4" t="inlineStr"/>
      <c r="H17" s="4" t="inlineStr"/>
      <c r="I17" s="4" t="inlineStr">
        <is>
          <t>Not contacted</t>
        </is>
      </c>
      <c r="J17" s="4" t="inlineStr"/>
      <c r="K17" s="4" t="inlineStr"/>
      <c r="L17" s="4" t="inlineStr"/>
      <c r="M17" s="4" t="inlineStr"/>
      <c r="N17" s="4" t="inlineStr"/>
      <c r="O17" s="4" t="inlineStr"/>
      <c r="P17" s="4" t="n"/>
      <c r="Q17" s="4" t="inlineStr"/>
    </row>
    <row r="18">
      <c r="A18" s="5" t="n">
        <v>14</v>
      </c>
      <c r="B18" s="5" t="inlineStr">
        <is>
          <t>@whatsongoldy</t>
        </is>
      </c>
      <c r="C18" s="5" t="inlineStr">
        <is>
          <t>C · What's on / media</t>
        </is>
      </c>
      <c r="D18" s="5" t="inlineStr">
        <is>
          <t>Lizelle</t>
        </is>
      </c>
      <c r="E18" s="5" t="inlineStr"/>
      <c r="F18" s="5" t="inlineStr"/>
      <c r="G18" s="5" t="inlineStr"/>
      <c r="H18" s="5" t="inlineStr"/>
      <c r="I18" s="5" t="inlineStr">
        <is>
          <t>Not contacted</t>
        </is>
      </c>
      <c r="J18" s="5" t="inlineStr"/>
      <c r="K18" s="5" t="inlineStr"/>
      <c r="L18" s="5" t="inlineStr"/>
      <c r="M18" s="5" t="inlineStr"/>
      <c r="N18" s="5" t="inlineStr"/>
      <c r="O18" s="5" t="inlineStr"/>
      <c r="P18" s="5" t="n"/>
      <c r="Q18" s="5" t="inlineStr"/>
    </row>
    <row r="19">
      <c r="A19" s="4" t="n">
        <v>15</v>
      </c>
      <c r="B19" s="4" t="inlineStr">
        <is>
          <t>@urbanlistgc</t>
        </is>
      </c>
      <c r="C19" s="4" t="inlineStr">
        <is>
          <t>C · What's on / media</t>
        </is>
      </c>
      <c r="D19" s="4" t="inlineStr">
        <is>
          <t>Lizelle</t>
        </is>
      </c>
      <c r="E19" s="4" t="inlineStr"/>
      <c r="F19" s="4" t="inlineStr"/>
      <c r="G19" s="4" t="inlineStr"/>
      <c r="H19" s="4" t="inlineStr"/>
      <c r="I19" s="4" t="inlineStr">
        <is>
          <t>Not contacted</t>
        </is>
      </c>
      <c r="J19" s="4" t="inlineStr"/>
      <c r="K19" s="4" t="inlineStr"/>
      <c r="L19" s="4" t="inlineStr"/>
      <c r="M19" s="4" t="inlineStr"/>
      <c r="N19" s="4" t="inlineStr"/>
      <c r="O19" s="4" t="inlineStr"/>
      <c r="P19" s="4" t="n"/>
      <c r="Q19" s="4" t="inlineStr"/>
    </row>
    <row r="20">
      <c r="A20" s="5" t="n">
        <v>16</v>
      </c>
      <c r="B20" s="5" t="inlineStr">
        <is>
          <t>@mustdogoldcoast</t>
        </is>
      </c>
      <c r="C20" s="5" t="inlineStr">
        <is>
          <t>C · What's on / media</t>
        </is>
      </c>
      <c r="D20" s="5" t="inlineStr">
        <is>
          <t>Lizelle</t>
        </is>
      </c>
      <c r="E20" s="5" t="inlineStr"/>
      <c r="F20" s="5" t="inlineStr"/>
      <c r="G20" s="5" t="inlineStr"/>
      <c r="H20" s="5" t="inlineStr"/>
      <c r="I20" s="5" t="inlineStr">
        <is>
          <t>Not contacted</t>
        </is>
      </c>
      <c r="J20" s="5" t="inlineStr"/>
      <c r="K20" s="5" t="inlineStr"/>
      <c r="L20" s="5" t="inlineStr"/>
      <c r="M20" s="5" t="inlineStr"/>
      <c r="N20" s="5" t="inlineStr"/>
      <c r="O20" s="5" t="inlineStr"/>
      <c r="P20" s="5" t="n"/>
      <c r="Q20" s="5" t="inlineStr"/>
    </row>
    <row r="21">
      <c r="A21" s="4" t="n">
        <v>17</v>
      </c>
      <c r="B21" s="4" t="inlineStr">
        <is>
          <t>@theweekendeditiongoldcoast</t>
        </is>
      </c>
      <c r="C21" s="4" t="inlineStr">
        <is>
          <t>C · What's on / media</t>
        </is>
      </c>
      <c r="D21" s="4" t="inlineStr">
        <is>
          <t>Lizelle</t>
        </is>
      </c>
      <c r="E21" s="4" t="inlineStr"/>
      <c r="F21" s="4" t="inlineStr"/>
      <c r="G21" s="4" t="inlineStr"/>
      <c r="H21" s="4" t="inlineStr"/>
      <c r="I21" s="4" t="inlineStr">
        <is>
          <t>Not contacted</t>
        </is>
      </c>
      <c r="J21" s="4" t="inlineStr"/>
      <c r="K21" s="4" t="inlineStr"/>
      <c r="L21" s="4" t="inlineStr"/>
      <c r="M21" s="4" t="inlineStr"/>
      <c r="N21" s="4" t="inlineStr"/>
      <c r="O21" s="4" t="inlineStr"/>
      <c r="P21" s="4" t="n"/>
      <c r="Q21" s="4" t="inlineStr"/>
    </row>
    <row r="22">
      <c r="A22" s="5" t="n">
        <v>18</v>
      </c>
      <c r="B22" s="5" t="inlineStr">
        <is>
          <t>@goldcoast.guide</t>
        </is>
      </c>
      <c r="C22" s="5" t="inlineStr">
        <is>
          <t>C · What's on / media</t>
        </is>
      </c>
      <c r="D22" s="5" t="inlineStr">
        <is>
          <t>Lizelle</t>
        </is>
      </c>
      <c r="E22" s="5" t="inlineStr"/>
      <c r="F22" s="5" t="inlineStr"/>
      <c r="G22" s="5" t="inlineStr"/>
      <c r="H22" s="5" t="inlineStr"/>
      <c r="I22" s="5" t="inlineStr">
        <is>
          <t>Not contacted</t>
        </is>
      </c>
      <c r="J22" s="5" t="inlineStr"/>
      <c r="K22" s="5" t="inlineStr"/>
      <c r="L22" s="5" t="inlineStr"/>
      <c r="M22" s="5" t="inlineStr"/>
      <c r="N22" s="5" t="inlineStr"/>
      <c r="O22" s="5" t="inlineStr"/>
      <c r="P22" s="5" t="n"/>
      <c r="Q22" s="5" t="inlineStr"/>
    </row>
    <row r="23">
      <c r="A23" s="4" t="n">
        <v>19</v>
      </c>
      <c r="B23" s="4" t="inlineStr">
        <is>
          <t>@goldcoasteats</t>
        </is>
      </c>
      <c r="C23" s="4" t="inlineStr">
        <is>
          <t>C · What's on / media</t>
        </is>
      </c>
      <c r="D23" s="4" t="inlineStr">
        <is>
          <t>Lizelle</t>
        </is>
      </c>
      <c r="E23" s="4" t="inlineStr"/>
      <c r="F23" s="4" t="inlineStr"/>
      <c r="G23" s="4" t="inlineStr"/>
      <c r="H23" s="4" t="inlineStr"/>
      <c r="I23" s="4" t="inlineStr">
        <is>
          <t>Not contacted</t>
        </is>
      </c>
      <c r="J23" s="4" t="inlineStr"/>
      <c r="K23" s="4" t="inlineStr"/>
      <c r="L23" s="4" t="inlineStr"/>
      <c r="M23" s="4" t="inlineStr"/>
      <c r="N23" s="4" t="inlineStr"/>
      <c r="O23" s="4" t="inlineStr"/>
      <c r="P23" s="4" t="n"/>
      <c r="Q23" s="4" t="inlineStr"/>
    </row>
    <row r="24">
      <c r="A24" s="5" t="n">
        <v>20</v>
      </c>
      <c r="B24" s="5" t="inlineStr">
        <is>
          <t>@tweedcoastguide</t>
        </is>
      </c>
      <c r="C24" s="5" t="inlineStr">
        <is>
          <t>D · Northern NSW</t>
        </is>
      </c>
      <c r="D24" s="5" t="inlineStr">
        <is>
          <t>Lizelle</t>
        </is>
      </c>
      <c r="E24" s="5" t="inlineStr"/>
      <c r="F24" s="5" t="inlineStr"/>
      <c r="G24" s="5" t="inlineStr"/>
      <c r="H24" s="5" t="inlineStr"/>
      <c r="I24" s="5" t="inlineStr">
        <is>
          <t>Not contacted</t>
        </is>
      </c>
      <c r="J24" s="5" t="inlineStr"/>
      <c r="K24" s="5" t="inlineStr"/>
      <c r="L24" s="5" t="inlineStr"/>
      <c r="M24" s="5" t="inlineStr"/>
      <c r="N24" s="5" t="inlineStr"/>
      <c r="O24" s="5" t="inlineStr"/>
      <c r="P24" s="5" t="n"/>
      <c r="Q24" s="5" t="inlineStr"/>
    </row>
    <row r="25">
      <c r="A25" s="4" t="n">
        <v>21</v>
      </c>
      <c r="B25" s="4" t="inlineStr">
        <is>
          <t>@byron.bay.eats</t>
        </is>
      </c>
      <c r="C25" s="4" t="inlineStr">
        <is>
          <t>D · Northern NSW</t>
        </is>
      </c>
      <c r="D25" s="4" t="inlineStr">
        <is>
          <t>Lizelle</t>
        </is>
      </c>
      <c r="E25" s="4" t="inlineStr"/>
      <c r="F25" s="4" t="inlineStr"/>
      <c r="G25" s="4" t="inlineStr"/>
      <c r="H25" s="4" t="inlineStr"/>
      <c r="I25" s="4" t="inlineStr">
        <is>
          <t>Not contacted</t>
        </is>
      </c>
      <c r="J25" s="4" t="inlineStr"/>
      <c r="K25" s="4" t="inlineStr"/>
      <c r="L25" s="4" t="inlineStr"/>
      <c r="M25" s="4" t="inlineStr"/>
      <c r="N25" s="4" t="inlineStr"/>
      <c r="O25" s="4" t="inlineStr"/>
      <c r="P25" s="4" t="n"/>
      <c r="Q25" s="4" t="inlineStr"/>
    </row>
    <row r="26">
      <c r="A26" s="5" t="n">
        <v>22</v>
      </c>
      <c r="B26" s="5" t="inlineStr">
        <is>
          <t>@northernriversconnect</t>
        </is>
      </c>
      <c r="C26" s="5" t="inlineStr">
        <is>
          <t>D · Northern NSW</t>
        </is>
      </c>
      <c r="D26" s="5" t="inlineStr">
        <is>
          <t>Lizelle</t>
        </is>
      </c>
      <c r="E26" s="5" t="inlineStr"/>
      <c r="F26" s="5" t="inlineStr"/>
      <c r="G26" s="5" t="inlineStr"/>
      <c r="H26" s="5" t="inlineStr"/>
      <c r="I26" s="5" t="inlineStr">
        <is>
          <t>Not contacted</t>
        </is>
      </c>
      <c r="J26" s="5" t="inlineStr"/>
      <c r="K26" s="5" t="inlineStr"/>
      <c r="L26" s="5" t="inlineStr"/>
      <c r="M26" s="5" t="inlineStr"/>
      <c r="N26" s="5" t="inlineStr"/>
      <c r="O26" s="5" t="inlineStr"/>
      <c r="P26" s="5" t="n"/>
      <c r="Q26" s="5" t="inlineStr"/>
    </row>
    <row r="27">
      <c r="A27" s="4" t="n">
        <v>23</v>
      </c>
      <c r="B27" s="4" t="inlineStr">
        <is>
          <t>@magdalena_roze</t>
        </is>
      </c>
      <c r="C27" s="4" t="inlineStr">
        <is>
          <t>D · Northern NSW</t>
        </is>
      </c>
      <c r="D27" s="4" t="inlineStr">
        <is>
          <t>Lizelle</t>
        </is>
      </c>
      <c r="E27" s="4" t="inlineStr"/>
      <c r="F27" s="4" t="inlineStr"/>
      <c r="G27" s="4" t="inlineStr"/>
      <c r="H27" s="4" t="inlineStr"/>
      <c r="I27" s="4" t="inlineStr">
        <is>
          <t>Not contacted</t>
        </is>
      </c>
      <c r="J27" s="4" t="inlineStr"/>
      <c r="K27" s="4" t="inlineStr"/>
      <c r="L27" s="4" t="inlineStr"/>
      <c r="M27" s="4" t="inlineStr"/>
      <c r="N27" s="4" t="inlineStr"/>
      <c r="O27" s="4" t="inlineStr"/>
      <c r="P27" s="4" t="n"/>
      <c r="Q27" s="4" t="inlineStr"/>
    </row>
    <row r="28">
      <c r="A28" s="5" t="n">
        <v>24</v>
      </c>
      <c r="B28" s="5" t="inlineStr">
        <is>
          <t>@jon.wyeth</t>
        </is>
      </c>
      <c r="C28" s="5" t="inlineStr">
        <is>
          <t>E · Home &amp; outdoor</t>
        </is>
      </c>
      <c r="D28" s="5" t="inlineStr">
        <is>
          <t>Lizelle</t>
        </is>
      </c>
      <c r="E28" s="5" t="inlineStr"/>
      <c r="F28" s="5" t="inlineStr"/>
      <c r="G28" s="5" t="inlineStr"/>
      <c r="H28" s="5" t="inlineStr"/>
      <c r="I28" s="5" t="inlineStr">
        <is>
          <t>Not contacted</t>
        </is>
      </c>
      <c r="J28" s="5" t="inlineStr"/>
      <c r="K28" s="5" t="inlineStr"/>
      <c r="L28" s="5" t="inlineStr"/>
      <c r="M28" s="5" t="inlineStr"/>
      <c r="N28" s="5" t="inlineStr"/>
      <c r="O28" s="5" t="inlineStr"/>
      <c r="P28" s="5" t="n"/>
      <c r="Q28" s="5" t="inlineStr"/>
    </row>
    <row r="29">
      <c r="A29" s="4" t="n">
        <v>25</v>
      </c>
      <c r="B29" s="4" t="inlineStr">
        <is>
          <t>@thecampovencook</t>
        </is>
      </c>
      <c r="C29" s="4" t="inlineStr">
        <is>
          <t>E · Home &amp; outdoor</t>
        </is>
      </c>
      <c r="D29" s="4" t="inlineStr">
        <is>
          <t>Lizelle</t>
        </is>
      </c>
      <c r="E29" s="4" t="inlineStr"/>
      <c r="F29" s="4" t="inlineStr"/>
      <c r="G29" s="4" t="inlineStr"/>
      <c r="H29" s="4" t="inlineStr"/>
      <c r="I29" s="4" t="inlineStr">
        <is>
          <t>Not contacted</t>
        </is>
      </c>
      <c r="J29" s="4" t="inlineStr"/>
      <c r="K29" s="4" t="inlineStr"/>
      <c r="L29" s="4" t="inlineStr"/>
      <c r="M29" s="4" t="inlineStr"/>
      <c r="N29" s="4" t="inlineStr"/>
      <c r="O29" s="4" t="inlineStr"/>
      <c r="P29" s="4" t="n"/>
      <c r="Q29" s="4" t="inlineStr"/>
    </row>
    <row r="30">
      <c r="A30" s="5" t="n">
        <v>26</v>
      </c>
      <c r="B30" s="5" t="inlineStr">
        <is>
          <t>@wildroadwanderers</t>
        </is>
      </c>
      <c r="C30" s="5" t="inlineStr">
        <is>
          <t>E · Home &amp; outdoor</t>
        </is>
      </c>
      <c r="D30" s="5" t="inlineStr">
        <is>
          <t>Lizelle</t>
        </is>
      </c>
      <c r="E30" s="5" t="inlineStr"/>
      <c r="F30" s="5" t="inlineStr"/>
      <c r="G30" s="5" t="inlineStr"/>
      <c r="H30" s="5" t="inlineStr"/>
      <c r="I30" s="5" t="inlineStr">
        <is>
          <t>Not contacted</t>
        </is>
      </c>
      <c r="J30" s="5" t="inlineStr"/>
      <c r="K30" s="5" t="inlineStr"/>
      <c r="L30" s="5" t="inlineStr"/>
      <c r="M30" s="5" t="inlineStr"/>
      <c r="N30" s="5" t="inlineStr"/>
      <c r="O30" s="5" t="inlineStr"/>
      <c r="P30" s="5" t="n"/>
      <c r="Q30" s="5" t="inlineStr"/>
    </row>
    <row r="31">
      <c r="A31" s="4" t="n">
        <v>27</v>
      </c>
      <c r="B31" s="4" t="inlineStr">
        <is>
          <t>@reesebros</t>
        </is>
      </c>
      <c r="C31" s="4" t="inlineStr">
        <is>
          <t>E · Home &amp; outdoor</t>
        </is>
      </c>
      <c r="D31" s="4" t="inlineStr">
        <is>
          <t>Lizelle</t>
        </is>
      </c>
      <c r="E31" s="4" t="inlineStr"/>
      <c r="F31" s="4" t="inlineStr"/>
      <c r="G31" s="4" t="inlineStr"/>
      <c r="H31" s="4" t="inlineStr"/>
      <c r="I31" s="4" t="inlineStr">
        <is>
          <t>Not contacted</t>
        </is>
      </c>
      <c r="J31" s="4" t="inlineStr"/>
      <c r="K31" s="4" t="inlineStr"/>
      <c r="L31" s="4" t="inlineStr"/>
      <c r="M31" s="4" t="inlineStr"/>
      <c r="N31" s="4" t="inlineStr"/>
      <c r="O31" s="4" t="inlineStr"/>
      <c r="P31" s="4" t="n"/>
      <c r="Q31" s="4" t="inlineStr"/>
    </row>
  </sheetData>
  <autoFilter ref="A4:Q31"/>
  <dataValidations count="4">
    <dataValidation sqref="E5:E31" showDropDown="0" showInputMessage="0" showErrorMessage="0" allowBlank="1" type="list">
      <formula1>"Yes,No,Partly"</formula1>
    </dataValidation>
    <dataValidation sqref="I5:I31" showDropDown="0" showInputMessage="0" showErrorMessage="0" allowBlank="1" type="list">
      <formula1>"Not contacted,Contacted,Followed up,Replied,Negotiating,Booked,Visited,Content live,Declined,No reply"</formula1>
    </dataValidation>
    <dataValidation sqref="J5:J31" showDropDown="0" showInputMessage="0" showErrorMessage="0" allowBlank="1" type="list">
      <formula1>"Gifted visit,Paid,Creator night,Editorial,Listing,Content creation"</formula1>
    </dataValidation>
    <dataValidation sqref="N5:N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64"/>
  <sheetViews>
    <sheetView zoomScale="10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1" customWidth="1" min="3" max="3"/>
    <col width="14" customWidth="1" min="4" max="4"/>
    <col width="30" customWidth="1" min="5" max="5"/>
    <col width="12" customWidth="1" min="6" max="6"/>
    <col width="12" customWidth="1" min="7" max="7"/>
    <col width="12" customWidth="1" min="8" max="8"/>
    <col width="11" customWidth="1" min="9" max="9"/>
    <col width="8" customWidth="1" min="10" max="10"/>
    <col width="9" customWidth="1" min="11" max="11"/>
    <col width="8" customWidth="1" min="12" max="12"/>
    <col width="8" customWidth="1" min="13" max="13"/>
    <col width="11" customWidth="1" min="14" max="14"/>
    <col width="16" customWidth="1" min="15" max="15"/>
    <col width="10" customWidth="1" min="16" max="16"/>
    <col width="11" customWidth="1" min="17" max="17"/>
    <col width="11" customWidth="1" min="18" max="18"/>
    <col width="10" customWidth="1" min="19" max="19"/>
    <col width="9" customWidth="1" min="20" max="20"/>
    <col width="11" customWidth="1" min="21" max="21"/>
    <col width="14" customWidth="1" min="22" max="22"/>
    <col width="14" customWidth="1" min="23" max="23"/>
  </cols>
  <sheetData>
    <row r="1">
      <c r="A1" s="1" t="inlineStr">
        <is>
          <t>Content &amp; results log</t>
        </is>
      </c>
    </row>
    <row r="2">
      <c r="A2" s="2" t="inlineStr">
        <is>
          <t>Log every post within 48 hours, then update results at day 7. ER = (likes+comments+shares+saves) / views.</t>
        </is>
      </c>
    </row>
    <row r="4">
      <c r="A4" s="3" t="inlineStr">
        <is>
          <t>Date live</t>
        </is>
      </c>
      <c r="B4" s="3" t="inlineStr">
        <is>
          <t>Handle</t>
        </is>
      </c>
      <c r="C4" s="3" t="inlineStr">
        <is>
          <t>Platform</t>
        </is>
      </c>
      <c r="D4" s="3" t="inlineStr">
        <is>
          <t>Format (Reel/Story/TikTok/Post)</t>
        </is>
      </c>
      <c r="E4" s="3" t="inlineStr">
        <is>
          <t>Link</t>
        </is>
      </c>
      <c r="F4" s="3" t="inlineStr">
        <is>
          <t>Paid partnership label + #ad (Y/N)</t>
        </is>
      </c>
      <c r="G4" s="3" t="inlineStr">
        <is>
          <t>Age-gated 18+ (Y/N)</t>
        </is>
      </c>
      <c r="H4" s="3" t="inlineStr">
        <is>
          <t>Approved before posting (Y/N)</t>
        </is>
      </c>
      <c r="I4" s="3" t="inlineStr">
        <is>
          <t>Views / reach</t>
        </is>
      </c>
      <c r="J4" s="3" t="inlineStr">
        <is>
          <t>Likes</t>
        </is>
      </c>
      <c r="K4" s="3" t="inlineStr">
        <is>
          <t>Comments</t>
        </is>
      </c>
      <c r="L4" s="3" t="inlineStr">
        <is>
          <t>Shares</t>
        </is>
      </c>
      <c r="M4" s="3" t="inlineStr">
        <is>
          <t>Saves</t>
        </is>
      </c>
      <c r="N4" s="3" t="inlineStr">
        <is>
          <t>Engagement rate</t>
        </is>
      </c>
      <c r="O4" s="3" t="inlineStr">
        <is>
          <t>Profile visits to @tapthatbreweryandkeghouse</t>
        </is>
      </c>
      <c r="P4" s="3" t="inlineStr">
        <is>
          <t>New follows</t>
        </is>
      </c>
      <c r="Q4" s="3" t="inlineStr">
        <is>
          <t>Code mentions at bar</t>
        </is>
      </c>
      <c r="R4" s="3" t="inlineStr">
        <is>
          <t>Keg system enquiries</t>
        </is>
      </c>
      <c r="S4" s="3" t="inlineStr">
        <is>
          <t>Keg systems sold</t>
        </is>
      </c>
      <c r="T4" s="3" t="inlineStr">
        <is>
          <t>Cost ($)</t>
        </is>
      </c>
      <c r="U4" s="3" t="inlineStr">
        <is>
          <t>Cost per 1K views</t>
        </is>
      </c>
      <c r="V4" s="3" t="inlineStr">
        <is>
          <t>Usage rights (to)</t>
        </is>
      </c>
      <c r="W4" s="3" t="inlineStr">
        <is>
          <t>Verdict (keep / drop)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7">
        <f>IF(I5&gt;0,(J5+K5+L5+M5)/I5,"")</f>
        <v/>
      </c>
      <c r="O5" s="6" t="n"/>
      <c r="P5" s="6" t="n"/>
      <c r="Q5" s="6" t="n"/>
      <c r="R5" s="6" t="n"/>
      <c r="S5" s="6" t="n"/>
      <c r="T5" s="6" t="n"/>
      <c r="U5" s="8">
        <f>IF(AND(I5&gt;0,T5&gt;0),T5/I5*1000,"")</f>
        <v/>
      </c>
      <c r="V5" s="6" t="n"/>
      <c r="W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7">
        <f>IF(I6&gt;0,(J6+K6+L6+M6)/I6,"")</f>
        <v/>
      </c>
      <c r="O6" s="6" t="n"/>
      <c r="P6" s="6" t="n"/>
      <c r="Q6" s="6" t="n"/>
      <c r="R6" s="6" t="n"/>
      <c r="S6" s="6" t="n"/>
      <c r="T6" s="6" t="n"/>
      <c r="U6" s="8">
        <f>IF(AND(I6&gt;0,T6&gt;0),T6/I6*1000,"")</f>
        <v/>
      </c>
      <c r="V6" s="6" t="n"/>
      <c r="W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7">
        <f>IF(I7&gt;0,(J7+K7+L7+M7)/I7,"")</f>
        <v/>
      </c>
      <c r="O7" s="6" t="n"/>
      <c r="P7" s="6" t="n"/>
      <c r="Q7" s="6" t="n"/>
      <c r="R7" s="6" t="n"/>
      <c r="S7" s="6" t="n"/>
      <c r="T7" s="6" t="n"/>
      <c r="U7" s="8">
        <f>IF(AND(I7&gt;0,T7&gt;0),T7/I7*1000,"")</f>
        <v/>
      </c>
      <c r="V7" s="6" t="n"/>
      <c r="W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>
        <f>IF(I8&gt;0,(J8+K8+L8+M8)/I8,"")</f>
        <v/>
      </c>
      <c r="O8" s="6" t="n"/>
      <c r="P8" s="6" t="n"/>
      <c r="Q8" s="6" t="n"/>
      <c r="R8" s="6" t="n"/>
      <c r="S8" s="6" t="n"/>
      <c r="T8" s="6" t="n"/>
      <c r="U8" s="8">
        <f>IF(AND(I8&gt;0,T8&gt;0),T8/I8*1000,"")</f>
        <v/>
      </c>
      <c r="V8" s="6" t="n"/>
      <c r="W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>
        <f>IF(I9&gt;0,(J9+K9+L9+M9)/I9,"")</f>
        <v/>
      </c>
      <c r="O9" s="6" t="n"/>
      <c r="P9" s="6" t="n"/>
      <c r="Q9" s="6" t="n"/>
      <c r="R9" s="6" t="n"/>
      <c r="S9" s="6" t="n"/>
      <c r="T9" s="6" t="n"/>
      <c r="U9" s="8">
        <f>IF(AND(I9&gt;0,T9&gt;0),T9/I9*1000,"")</f>
        <v/>
      </c>
      <c r="V9" s="6" t="n"/>
      <c r="W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>
        <f>IF(I10&gt;0,(J10+K10+L10+M10)/I10,"")</f>
        <v/>
      </c>
      <c r="O10" s="6" t="n"/>
      <c r="P10" s="6" t="n"/>
      <c r="Q10" s="6" t="n"/>
      <c r="R10" s="6" t="n"/>
      <c r="S10" s="6" t="n"/>
      <c r="T10" s="6" t="n"/>
      <c r="U10" s="8">
        <f>IF(AND(I10&gt;0,T10&gt;0),T10/I10*1000,"")</f>
        <v/>
      </c>
      <c r="V10" s="6" t="n"/>
      <c r="W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>
        <f>IF(I11&gt;0,(J11+K11+L11+M11)/I11,"")</f>
        <v/>
      </c>
      <c r="O11" s="6" t="n"/>
      <c r="P11" s="6" t="n"/>
      <c r="Q11" s="6" t="n"/>
      <c r="R11" s="6" t="n"/>
      <c r="S11" s="6" t="n"/>
      <c r="T11" s="6" t="n"/>
      <c r="U11" s="8">
        <f>IF(AND(I11&gt;0,T11&gt;0),T11/I11*1000,"")</f>
        <v/>
      </c>
      <c r="V11" s="6" t="n"/>
      <c r="W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7">
        <f>IF(I12&gt;0,(J12+K12+L12+M12)/I12,"")</f>
        <v/>
      </c>
      <c r="O12" s="6" t="n"/>
      <c r="P12" s="6" t="n"/>
      <c r="Q12" s="6" t="n"/>
      <c r="R12" s="6" t="n"/>
      <c r="S12" s="6" t="n"/>
      <c r="T12" s="6" t="n"/>
      <c r="U12" s="8">
        <f>IF(AND(I12&gt;0,T12&gt;0),T12/I12*1000,"")</f>
        <v/>
      </c>
      <c r="V12" s="6" t="n"/>
      <c r="W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7">
        <f>IF(I13&gt;0,(J13+K13+L13+M13)/I13,"")</f>
        <v/>
      </c>
      <c r="O13" s="6" t="n"/>
      <c r="P13" s="6" t="n"/>
      <c r="Q13" s="6" t="n"/>
      <c r="R13" s="6" t="n"/>
      <c r="S13" s="6" t="n"/>
      <c r="T13" s="6" t="n"/>
      <c r="U13" s="8">
        <f>IF(AND(I13&gt;0,T13&gt;0),T13/I13*1000,"")</f>
        <v/>
      </c>
      <c r="V13" s="6" t="n"/>
      <c r="W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7">
        <f>IF(I14&gt;0,(J14+K14+L14+M14)/I14,"")</f>
        <v/>
      </c>
      <c r="O14" s="6" t="n"/>
      <c r="P14" s="6" t="n"/>
      <c r="Q14" s="6" t="n"/>
      <c r="R14" s="6" t="n"/>
      <c r="S14" s="6" t="n"/>
      <c r="T14" s="6" t="n"/>
      <c r="U14" s="8">
        <f>IF(AND(I14&gt;0,T14&gt;0),T14/I14*1000,"")</f>
        <v/>
      </c>
      <c r="V14" s="6" t="n"/>
      <c r="W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7">
        <f>IF(I15&gt;0,(J15+K15+L15+M15)/I15,"")</f>
        <v/>
      </c>
      <c r="O15" s="6" t="n"/>
      <c r="P15" s="6" t="n"/>
      <c r="Q15" s="6" t="n"/>
      <c r="R15" s="6" t="n"/>
      <c r="S15" s="6" t="n"/>
      <c r="T15" s="6" t="n"/>
      <c r="U15" s="8">
        <f>IF(AND(I15&gt;0,T15&gt;0),T15/I15*1000,"")</f>
        <v/>
      </c>
      <c r="V15" s="6" t="n"/>
      <c r="W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7">
        <f>IF(I16&gt;0,(J16+K16+L16+M16)/I16,"")</f>
        <v/>
      </c>
      <c r="O16" s="6" t="n"/>
      <c r="P16" s="6" t="n"/>
      <c r="Q16" s="6" t="n"/>
      <c r="R16" s="6" t="n"/>
      <c r="S16" s="6" t="n"/>
      <c r="T16" s="6" t="n"/>
      <c r="U16" s="8">
        <f>IF(AND(I16&gt;0,T16&gt;0),T16/I16*1000,"")</f>
        <v/>
      </c>
      <c r="V16" s="6" t="n"/>
      <c r="W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7">
        <f>IF(I17&gt;0,(J17+K17+L17+M17)/I17,"")</f>
        <v/>
      </c>
      <c r="O17" s="6" t="n"/>
      <c r="P17" s="6" t="n"/>
      <c r="Q17" s="6" t="n"/>
      <c r="R17" s="6" t="n"/>
      <c r="S17" s="6" t="n"/>
      <c r="T17" s="6" t="n"/>
      <c r="U17" s="8">
        <f>IF(AND(I17&gt;0,T17&gt;0),T17/I17*1000,"")</f>
        <v/>
      </c>
      <c r="V17" s="6" t="n"/>
      <c r="W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7">
        <f>IF(I18&gt;0,(J18+K18+L18+M18)/I18,"")</f>
        <v/>
      </c>
      <c r="O18" s="6" t="n"/>
      <c r="P18" s="6" t="n"/>
      <c r="Q18" s="6" t="n"/>
      <c r="R18" s="6" t="n"/>
      <c r="S18" s="6" t="n"/>
      <c r="T18" s="6" t="n"/>
      <c r="U18" s="8">
        <f>IF(AND(I18&gt;0,T18&gt;0),T18/I18*1000,"")</f>
        <v/>
      </c>
      <c r="V18" s="6" t="n"/>
      <c r="W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7">
        <f>IF(I19&gt;0,(J19+K19+L19+M19)/I19,"")</f>
        <v/>
      </c>
      <c r="O19" s="6" t="n"/>
      <c r="P19" s="6" t="n"/>
      <c r="Q19" s="6" t="n"/>
      <c r="R19" s="6" t="n"/>
      <c r="S19" s="6" t="n"/>
      <c r="T19" s="6" t="n"/>
      <c r="U19" s="8">
        <f>IF(AND(I19&gt;0,T19&gt;0),T19/I19*1000,"")</f>
        <v/>
      </c>
      <c r="V19" s="6" t="n"/>
      <c r="W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>
        <f>IF(I20&gt;0,(J20+K20+L20+M20)/I20,"")</f>
        <v/>
      </c>
      <c r="O20" s="6" t="n"/>
      <c r="P20" s="6" t="n"/>
      <c r="Q20" s="6" t="n"/>
      <c r="R20" s="6" t="n"/>
      <c r="S20" s="6" t="n"/>
      <c r="T20" s="6" t="n"/>
      <c r="U20" s="8">
        <f>IF(AND(I20&gt;0,T20&gt;0),T20/I20*1000,"")</f>
        <v/>
      </c>
      <c r="V20" s="6" t="n"/>
      <c r="W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>
        <f>IF(I21&gt;0,(J21+K21+L21+M21)/I21,"")</f>
        <v/>
      </c>
      <c r="O21" s="6" t="n"/>
      <c r="P21" s="6" t="n"/>
      <c r="Q21" s="6" t="n"/>
      <c r="R21" s="6" t="n"/>
      <c r="S21" s="6" t="n"/>
      <c r="T21" s="6" t="n"/>
      <c r="U21" s="8">
        <f>IF(AND(I21&gt;0,T21&gt;0),T21/I21*1000,"")</f>
        <v/>
      </c>
      <c r="V21" s="6" t="n"/>
      <c r="W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>
        <f>IF(I22&gt;0,(J22+K22+L22+M22)/I22,"")</f>
        <v/>
      </c>
      <c r="O22" s="6" t="n"/>
      <c r="P22" s="6" t="n"/>
      <c r="Q22" s="6" t="n"/>
      <c r="R22" s="6" t="n"/>
      <c r="S22" s="6" t="n"/>
      <c r="T22" s="6" t="n"/>
      <c r="U22" s="8">
        <f>IF(AND(I22&gt;0,T22&gt;0),T22/I22*1000,"")</f>
        <v/>
      </c>
      <c r="V22" s="6" t="n"/>
      <c r="W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7">
        <f>IF(I23&gt;0,(J23+K23+L23+M23)/I23,"")</f>
        <v/>
      </c>
      <c r="O23" s="6" t="n"/>
      <c r="P23" s="6" t="n"/>
      <c r="Q23" s="6" t="n"/>
      <c r="R23" s="6" t="n"/>
      <c r="S23" s="6" t="n"/>
      <c r="T23" s="6" t="n"/>
      <c r="U23" s="8">
        <f>IF(AND(I23&gt;0,T23&gt;0),T23/I23*1000,"")</f>
        <v/>
      </c>
      <c r="V23" s="6" t="n"/>
      <c r="W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7">
        <f>IF(I24&gt;0,(J24+K24+L24+M24)/I24,"")</f>
        <v/>
      </c>
      <c r="O24" s="6" t="n"/>
      <c r="P24" s="6" t="n"/>
      <c r="Q24" s="6" t="n"/>
      <c r="R24" s="6" t="n"/>
      <c r="S24" s="6" t="n"/>
      <c r="T24" s="6" t="n"/>
      <c r="U24" s="8">
        <f>IF(AND(I24&gt;0,T24&gt;0),T24/I24*1000,"")</f>
        <v/>
      </c>
      <c r="V24" s="6" t="n"/>
      <c r="W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7">
        <f>IF(I25&gt;0,(J25+K25+L25+M25)/I25,"")</f>
        <v/>
      </c>
      <c r="O25" s="6" t="n"/>
      <c r="P25" s="6" t="n"/>
      <c r="Q25" s="6" t="n"/>
      <c r="R25" s="6" t="n"/>
      <c r="S25" s="6" t="n"/>
      <c r="T25" s="6" t="n"/>
      <c r="U25" s="8">
        <f>IF(AND(I25&gt;0,T25&gt;0),T25/I25*1000,"")</f>
        <v/>
      </c>
      <c r="V25" s="6" t="n"/>
      <c r="W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7">
        <f>IF(I26&gt;0,(J26+K26+L26+M26)/I26,"")</f>
        <v/>
      </c>
      <c r="O26" s="6" t="n"/>
      <c r="P26" s="6" t="n"/>
      <c r="Q26" s="6" t="n"/>
      <c r="R26" s="6" t="n"/>
      <c r="S26" s="6" t="n"/>
      <c r="T26" s="6" t="n"/>
      <c r="U26" s="8">
        <f>IF(AND(I26&gt;0,T26&gt;0),T26/I26*1000,"")</f>
        <v/>
      </c>
      <c r="V26" s="6" t="n"/>
      <c r="W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>
        <f>IF(I27&gt;0,(J27+K27+L27+M27)/I27,"")</f>
        <v/>
      </c>
      <c r="O27" s="6" t="n"/>
      <c r="P27" s="6" t="n"/>
      <c r="Q27" s="6" t="n"/>
      <c r="R27" s="6" t="n"/>
      <c r="S27" s="6" t="n"/>
      <c r="T27" s="6" t="n"/>
      <c r="U27" s="8">
        <f>IF(AND(I27&gt;0,T27&gt;0),T27/I27*1000,"")</f>
        <v/>
      </c>
      <c r="V27" s="6" t="n"/>
      <c r="W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>
        <f>IF(I28&gt;0,(J28+K28+L28+M28)/I28,"")</f>
        <v/>
      </c>
      <c r="O28" s="6" t="n"/>
      <c r="P28" s="6" t="n"/>
      <c r="Q28" s="6" t="n"/>
      <c r="R28" s="6" t="n"/>
      <c r="S28" s="6" t="n"/>
      <c r="T28" s="6" t="n"/>
      <c r="U28" s="8">
        <f>IF(AND(I28&gt;0,T28&gt;0),T28/I28*1000,"")</f>
        <v/>
      </c>
      <c r="V28" s="6" t="n"/>
      <c r="W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>
        <f>IF(I29&gt;0,(J29+K29+L29+M29)/I29,"")</f>
        <v/>
      </c>
      <c r="O29" s="6" t="n"/>
      <c r="P29" s="6" t="n"/>
      <c r="Q29" s="6" t="n"/>
      <c r="R29" s="6" t="n"/>
      <c r="S29" s="6" t="n"/>
      <c r="T29" s="6" t="n"/>
      <c r="U29" s="8">
        <f>IF(AND(I29&gt;0,T29&gt;0),T29/I29*1000,"")</f>
        <v/>
      </c>
      <c r="V29" s="6" t="n"/>
      <c r="W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7">
        <f>IF(I30&gt;0,(J30+K30+L30+M30)/I30,"")</f>
        <v/>
      </c>
      <c r="O30" s="6" t="n"/>
      <c r="P30" s="6" t="n"/>
      <c r="Q30" s="6" t="n"/>
      <c r="R30" s="6" t="n"/>
      <c r="S30" s="6" t="n"/>
      <c r="T30" s="6" t="n"/>
      <c r="U30" s="8">
        <f>IF(AND(I30&gt;0,T30&gt;0),T30/I30*1000,"")</f>
        <v/>
      </c>
      <c r="V30" s="6" t="n"/>
      <c r="W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7">
        <f>IF(I31&gt;0,(J31+K31+L31+M31)/I31,"")</f>
        <v/>
      </c>
      <c r="O31" s="6" t="n"/>
      <c r="P31" s="6" t="n"/>
      <c r="Q31" s="6" t="n"/>
      <c r="R31" s="6" t="n"/>
      <c r="S31" s="6" t="n"/>
      <c r="T31" s="6" t="n"/>
      <c r="U31" s="8">
        <f>IF(AND(I31&gt;0,T31&gt;0),T31/I31*1000,"")</f>
        <v/>
      </c>
      <c r="V31" s="6" t="n"/>
      <c r="W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7">
        <f>IF(I32&gt;0,(J32+K32+L32+M32)/I32,"")</f>
        <v/>
      </c>
      <c r="O32" s="6" t="n"/>
      <c r="P32" s="6" t="n"/>
      <c r="Q32" s="6" t="n"/>
      <c r="R32" s="6" t="n"/>
      <c r="S32" s="6" t="n"/>
      <c r="T32" s="6" t="n"/>
      <c r="U32" s="8">
        <f>IF(AND(I32&gt;0,T32&gt;0),T32/I32*1000,"")</f>
        <v/>
      </c>
      <c r="V32" s="6" t="n"/>
      <c r="W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7">
        <f>IF(I33&gt;0,(J33+K33+L33+M33)/I33,"")</f>
        <v/>
      </c>
      <c r="O33" s="6" t="n"/>
      <c r="P33" s="6" t="n"/>
      <c r="Q33" s="6" t="n"/>
      <c r="R33" s="6" t="n"/>
      <c r="S33" s="6" t="n"/>
      <c r="T33" s="6" t="n"/>
      <c r="U33" s="8">
        <f>IF(AND(I33&gt;0,T33&gt;0),T33/I33*1000,"")</f>
        <v/>
      </c>
      <c r="V33" s="6" t="n"/>
      <c r="W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7">
        <f>IF(I34&gt;0,(J34+K34+L34+M34)/I34,"")</f>
        <v/>
      </c>
      <c r="O34" s="6" t="n"/>
      <c r="P34" s="6" t="n"/>
      <c r="Q34" s="6" t="n"/>
      <c r="R34" s="6" t="n"/>
      <c r="S34" s="6" t="n"/>
      <c r="T34" s="6" t="n"/>
      <c r="U34" s="8">
        <f>IF(AND(I34&gt;0,T34&gt;0),T34/I34*1000,"")</f>
        <v/>
      </c>
      <c r="V34" s="6" t="n"/>
      <c r="W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7">
        <f>IF(I35&gt;0,(J35+K35+L35+M35)/I35,"")</f>
        <v/>
      </c>
      <c r="O35" s="6" t="n"/>
      <c r="P35" s="6" t="n"/>
      <c r="Q35" s="6" t="n"/>
      <c r="R35" s="6" t="n"/>
      <c r="S35" s="6" t="n"/>
      <c r="T35" s="6" t="n"/>
      <c r="U35" s="8">
        <f>IF(AND(I35&gt;0,T35&gt;0),T35/I35*1000,"")</f>
        <v/>
      </c>
      <c r="V35" s="6" t="n"/>
      <c r="W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7">
        <f>IF(I36&gt;0,(J36+K36+L36+M36)/I36,"")</f>
        <v/>
      </c>
      <c r="O36" s="6" t="n"/>
      <c r="P36" s="6" t="n"/>
      <c r="Q36" s="6" t="n"/>
      <c r="R36" s="6" t="n"/>
      <c r="S36" s="6" t="n"/>
      <c r="T36" s="6" t="n"/>
      <c r="U36" s="8">
        <f>IF(AND(I36&gt;0,T36&gt;0),T36/I36*1000,"")</f>
        <v/>
      </c>
      <c r="V36" s="6" t="n"/>
      <c r="W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7">
        <f>IF(I37&gt;0,(J37+K37+L37+M37)/I37,"")</f>
        <v/>
      </c>
      <c r="O37" s="6" t="n"/>
      <c r="P37" s="6" t="n"/>
      <c r="Q37" s="6" t="n"/>
      <c r="R37" s="6" t="n"/>
      <c r="S37" s="6" t="n"/>
      <c r="T37" s="6" t="n"/>
      <c r="U37" s="8">
        <f>IF(AND(I37&gt;0,T37&gt;0),T37/I37*1000,"")</f>
        <v/>
      </c>
      <c r="V37" s="6" t="n"/>
      <c r="W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7">
        <f>IF(I38&gt;0,(J38+K38+L38+M38)/I38,"")</f>
        <v/>
      </c>
      <c r="O38" s="6" t="n"/>
      <c r="P38" s="6" t="n"/>
      <c r="Q38" s="6" t="n"/>
      <c r="R38" s="6" t="n"/>
      <c r="S38" s="6" t="n"/>
      <c r="T38" s="6" t="n"/>
      <c r="U38" s="8">
        <f>IF(AND(I38&gt;0,T38&gt;0),T38/I38*1000,"")</f>
        <v/>
      </c>
      <c r="V38" s="6" t="n"/>
      <c r="W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7">
        <f>IF(I39&gt;0,(J39+K39+L39+M39)/I39,"")</f>
        <v/>
      </c>
      <c r="O39" s="6" t="n"/>
      <c r="P39" s="6" t="n"/>
      <c r="Q39" s="6" t="n"/>
      <c r="R39" s="6" t="n"/>
      <c r="S39" s="6" t="n"/>
      <c r="T39" s="6" t="n"/>
      <c r="U39" s="8">
        <f>IF(AND(I39&gt;0,T39&gt;0),T39/I39*1000,"")</f>
        <v/>
      </c>
      <c r="V39" s="6" t="n"/>
      <c r="W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7">
        <f>IF(I40&gt;0,(J40+K40+L40+M40)/I40,"")</f>
        <v/>
      </c>
      <c r="O40" s="6" t="n"/>
      <c r="P40" s="6" t="n"/>
      <c r="Q40" s="6" t="n"/>
      <c r="R40" s="6" t="n"/>
      <c r="S40" s="6" t="n"/>
      <c r="T40" s="6" t="n"/>
      <c r="U40" s="8">
        <f>IF(AND(I40&gt;0,T40&gt;0),T40/I40*1000,"")</f>
        <v/>
      </c>
      <c r="V40" s="6" t="n"/>
      <c r="W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7">
        <f>IF(I41&gt;0,(J41+K41+L41+M41)/I41,"")</f>
        <v/>
      </c>
      <c r="O41" s="6" t="n"/>
      <c r="P41" s="6" t="n"/>
      <c r="Q41" s="6" t="n"/>
      <c r="R41" s="6" t="n"/>
      <c r="S41" s="6" t="n"/>
      <c r="T41" s="6" t="n"/>
      <c r="U41" s="8">
        <f>IF(AND(I41&gt;0,T41&gt;0),T41/I41*1000,"")</f>
        <v/>
      </c>
      <c r="V41" s="6" t="n"/>
      <c r="W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7">
        <f>IF(I42&gt;0,(J42+K42+L42+M42)/I42,"")</f>
        <v/>
      </c>
      <c r="O42" s="6" t="n"/>
      <c r="P42" s="6" t="n"/>
      <c r="Q42" s="6" t="n"/>
      <c r="R42" s="6" t="n"/>
      <c r="S42" s="6" t="n"/>
      <c r="T42" s="6" t="n"/>
      <c r="U42" s="8">
        <f>IF(AND(I42&gt;0,T42&gt;0),T42/I42*1000,"")</f>
        <v/>
      </c>
      <c r="V42" s="6" t="n"/>
      <c r="W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7">
        <f>IF(I43&gt;0,(J43+K43+L43+M43)/I43,"")</f>
        <v/>
      </c>
      <c r="O43" s="6" t="n"/>
      <c r="P43" s="6" t="n"/>
      <c r="Q43" s="6" t="n"/>
      <c r="R43" s="6" t="n"/>
      <c r="S43" s="6" t="n"/>
      <c r="T43" s="6" t="n"/>
      <c r="U43" s="8">
        <f>IF(AND(I43&gt;0,T43&gt;0),T43/I43*1000,"")</f>
        <v/>
      </c>
      <c r="V43" s="6" t="n"/>
      <c r="W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7">
        <f>IF(I44&gt;0,(J44+K44+L44+M44)/I44,"")</f>
        <v/>
      </c>
      <c r="O44" s="6" t="n"/>
      <c r="P44" s="6" t="n"/>
      <c r="Q44" s="6" t="n"/>
      <c r="R44" s="6" t="n"/>
      <c r="S44" s="6" t="n"/>
      <c r="T44" s="6" t="n"/>
      <c r="U44" s="8">
        <f>IF(AND(I44&gt;0,T44&gt;0),T44/I44*1000,"")</f>
        <v/>
      </c>
      <c r="V44" s="6" t="n"/>
      <c r="W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7">
        <f>IF(I45&gt;0,(J45+K45+L45+M45)/I45,"")</f>
        <v/>
      </c>
      <c r="O45" s="6" t="n"/>
      <c r="P45" s="6" t="n"/>
      <c r="Q45" s="6" t="n"/>
      <c r="R45" s="6" t="n"/>
      <c r="S45" s="6" t="n"/>
      <c r="T45" s="6" t="n"/>
      <c r="U45" s="8">
        <f>IF(AND(I45&gt;0,T45&gt;0),T45/I45*1000,"")</f>
        <v/>
      </c>
      <c r="V45" s="6" t="n"/>
      <c r="W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7">
        <f>IF(I46&gt;0,(J46+K46+L46+M46)/I46,"")</f>
        <v/>
      </c>
      <c r="O46" s="6" t="n"/>
      <c r="P46" s="6" t="n"/>
      <c r="Q46" s="6" t="n"/>
      <c r="R46" s="6" t="n"/>
      <c r="S46" s="6" t="n"/>
      <c r="T46" s="6" t="n"/>
      <c r="U46" s="8">
        <f>IF(AND(I46&gt;0,T46&gt;0),T46/I46*1000,"")</f>
        <v/>
      </c>
      <c r="V46" s="6" t="n"/>
      <c r="W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7">
        <f>IF(I47&gt;0,(J47+K47+L47+M47)/I47,"")</f>
        <v/>
      </c>
      <c r="O47" s="6" t="n"/>
      <c r="P47" s="6" t="n"/>
      <c r="Q47" s="6" t="n"/>
      <c r="R47" s="6" t="n"/>
      <c r="S47" s="6" t="n"/>
      <c r="T47" s="6" t="n"/>
      <c r="U47" s="8">
        <f>IF(AND(I47&gt;0,T47&gt;0),T47/I47*1000,"")</f>
        <v/>
      </c>
      <c r="V47" s="6" t="n"/>
      <c r="W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7">
        <f>IF(I48&gt;0,(J48+K48+L48+M48)/I48,"")</f>
        <v/>
      </c>
      <c r="O48" s="6" t="n"/>
      <c r="P48" s="6" t="n"/>
      <c r="Q48" s="6" t="n"/>
      <c r="R48" s="6" t="n"/>
      <c r="S48" s="6" t="n"/>
      <c r="T48" s="6" t="n"/>
      <c r="U48" s="8">
        <f>IF(AND(I48&gt;0,T48&gt;0),T48/I48*1000,"")</f>
        <v/>
      </c>
      <c r="V48" s="6" t="n"/>
      <c r="W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7">
        <f>IF(I49&gt;0,(J49+K49+L49+M49)/I49,"")</f>
        <v/>
      </c>
      <c r="O49" s="6" t="n"/>
      <c r="P49" s="6" t="n"/>
      <c r="Q49" s="6" t="n"/>
      <c r="R49" s="6" t="n"/>
      <c r="S49" s="6" t="n"/>
      <c r="T49" s="6" t="n"/>
      <c r="U49" s="8">
        <f>IF(AND(I49&gt;0,T49&gt;0),T49/I49*1000,"")</f>
        <v/>
      </c>
      <c r="V49" s="6" t="n"/>
      <c r="W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7">
        <f>IF(I50&gt;0,(J50+K50+L50+M50)/I50,"")</f>
        <v/>
      </c>
      <c r="O50" s="6" t="n"/>
      <c r="P50" s="6" t="n"/>
      <c r="Q50" s="6" t="n"/>
      <c r="R50" s="6" t="n"/>
      <c r="S50" s="6" t="n"/>
      <c r="T50" s="6" t="n"/>
      <c r="U50" s="8">
        <f>IF(AND(I50&gt;0,T50&gt;0),T50/I50*1000,"")</f>
        <v/>
      </c>
      <c r="V50" s="6" t="n"/>
      <c r="W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7">
        <f>IF(I51&gt;0,(J51+K51+L51+M51)/I51,"")</f>
        <v/>
      </c>
      <c r="O51" s="6" t="n"/>
      <c r="P51" s="6" t="n"/>
      <c r="Q51" s="6" t="n"/>
      <c r="R51" s="6" t="n"/>
      <c r="S51" s="6" t="n"/>
      <c r="T51" s="6" t="n"/>
      <c r="U51" s="8">
        <f>IF(AND(I51&gt;0,T51&gt;0),T51/I51*1000,"")</f>
        <v/>
      </c>
      <c r="V51" s="6" t="n"/>
      <c r="W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7">
        <f>IF(I52&gt;0,(J52+K52+L52+M52)/I52,"")</f>
        <v/>
      </c>
      <c r="O52" s="6" t="n"/>
      <c r="P52" s="6" t="n"/>
      <c r="Q52" s="6" t="n"/>
      <c r="R52" s="6" t="n"/>
      <c r="S52" s="6" t="n"/>
      <c r="T52" s="6" t="n"/>
      <c r="U52" s="8">
        <f>IF(AND(I52&gt;0,T52&gt;0),T52/I52*1000,"")</f>
        <v/>
      </c>
      <c r="V52" s="6" t="n"/>
      <c r="W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7">
        <f>IF(I53&gt;0,(J53+K53+L53+M53)/I53,"")</f>
        <v/>
      </c>
      <c r="O53" s="6" t="n"/>
      <c r="P53" s="6" t="n"/>
      <c r="Q53" s="6" t="n"/>
      <c r="R53" s="6" t="n"/>
      <c r="S53" s="6" t="n"/>
      <c r="T53" s="6" t="n"/>
      <c r="U53" s="8">
        <f>IF(AND(I53&gt;0,T53&gt;0),T53/I53*1000,"")</f>
        <v/>
      </c>
      <c r="V53" s="6" t="n"/>
      <c r="W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7">
        <f>IF(I54&gt;0,(J54+K54+L54+M54)/I54,"")</f>
        <v/>
      </c>
      <c r="O54" s="6" t="n"/>
      <c r="P54" s="6" t="n"/>
      <c r="Q54" s="6" t="n"/>
      <c r="R54" s="6" t="n"/>
      <c r="S54" s="6" t="n"/>
      <c r="T54" s="6" t="n"/>
      <c r="U54" s="8">
        <f>IF(AND(I54&gt;0,T54&gt;0),T54/I54*1000,"")</f>
        <v/>
      </c>
      <c r="V54" s="6" t="n"/>
      <c r="W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7">
        <f>IF(I55&gt;0,(J55+K55+L55+M55)/I55,"")</f>
        <v/>
      </c>
      <c r="O55" s="6" t="n"/>
      <c r="P55" s="6" t="n"/>
      <c r="Q55" s="6" t="n"/>
      <c r="R55" s="6" t="n"/>
      <c r="S55" s="6" t="n"/>
      <c r="T55" s="6" t="n"/>
      <c r="U55" s="8">
        <f>IF(AND(I55&gt;0,T55&gt;0),T55/I55*1000,"")</f>
        <v/>
      </c>
      <c r="V55" s="6" t="n"/>
      <c r="W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7">
        <f>IF(I56&gt;0,(J56+K56+L56+M56)/I56,"")</f>
        <v/>
      </c>
      <c r="O56" s="6" t="n"/>
      <c r="P56" s="6" t="n"/>
      <c r="Q56" s="6" t="n"/>
      <c r="R56" s="6" t="n"/>
      <c r="S56" s="6" t="n"/>
      <c r="T56" s="6" t="n"/>
      <c r="U56" s="8">
        <f>IF(AND(I56&gt;0,T56&gt;0),T56/I56*1000,"")</f>
        <v/>
      </c>
      <c r="V56" s="6" t="n"/>
      <c r="W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7">
        <f>IF(I57&gt;0,(J57+K57+L57+M57)/I57,"")</f>
        <v/>
      </c>
      <c r="O57" s="6" t="n"/>
      <c r="P57" s="6" t="n"/>
      <c r="Q57" s="6" t="n"/>
      <c r="R57" s="6" t="n"/>
      <c r="S57" s="6" t="n"/>
      <c r="T57" s="6" t="n"/>
      <c r="U57" s="8">
        <f>IF(AND(I57&gt;0,T57&gt;0),T57/I57*1000,"")</f>
        <v/>
      </c>
      <c r="V57" s="6" t="n"/>
      <c r="W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7">
        <f>IF(I58&gt;0,(J58+K58+L58+M58)/I58,"")</f>
        <v/>
      </c>
      <c r="O58" s="6" t="n"/>
      <c r="P58" s="6" t="n"/>
      <c r="Q58" s="6" t="n"/>
      <c r="R58" s="6" t="n"/>
      <c r="S58" s="6" t="n"/>
      <c r="T58" s="6" t="n"/>
      <c r="U58" s="8">
        <f>IF(AND(I58&gt;0,T58&gt;0),T58/I58*1000,"")</f>
        <v/>
      </c>
      <c r="V58" s="6" t="n"/>
      <c r="W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7">
        <f>IF(I59&gt;0,(J59+K59+L59+M59)/I59,"")</f>
        <v/>
      </c>
      <c r="O59" s="6" t="n"/>
      <c r="P59" s="6" t="n"/>
      <c r="Q59" s="6" t="n"/>
      <c r="R59" s="6" t="n"/>
      <c r="S59" s="6" t="n"/>
      <c r="T59" s="6" t="n"/>
      <c r="U59" s="8">
        <f>IF(AND(I59&gt;0,T59&gt;0),T59/I59*1000,"")</f>
        <v/>
      </c>
      <c r="V59" s="6" t="n"/>
      <c r="W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7">
        <f>IF(I60&gt;0,(J60+K60+L60+M60)/I60,"")</f>
        <v/>
      </c>
      <c r="O60" s="6" t="n"/>
      <c r="P60" s="6" t="n"/>
      <c r="Q60" s="6" t="n"/>
      <c r="R60" s="6" t="n"/>
      <c r="S60" s="6" t="n"/>
      <c r="T60" s="6" t="n"/>
      <c r="U60" s="8">
        <f>IF(AND(I60&gt;0,T60&gt;0),T60/I60*1000,"")</f>
        <v/>
      </c>
      <c r="V60" s="6" t="n"/>
      <c r="W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7">
        <f>IF(I61&gt;0,(J61+K61+L61+M61)/I61,"")</f>
        <v/>
      </c>
      <c r="O61" s="6" t="n"/>
      <c r="P61" s="6" t="n"/>
      <c r="Q61" s="6" t="n"/>
      <c r="R61" s="6" t="n"/>
      <c r="S61" s="6" t="n"/>
      <c r="T61" s="6" t="n"/>
      <c r="U61" s="8">
        <f>IF(AND(I61&gt;0,T61&gt;0),T61/I61*1000,"")</f>
        <v/>
      </c>
      <c r="V61" s="6" t="n"/>
      <c r="W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7">
        <f>IF(I62&gt;0,(J62+K62+L62+M62)/I62,"")</f>
        <v/>
      </c>
      <c r="O62" s="6" t="n"/>
      <c r="P62" s="6" t="n"/>
      <c r="Q62" s="6" t="n"/>
      <c r="R62" s="6" t="n"/>
      <c r="S62" s="6" t="n"/>
      <c r="T62" s="6" t="n"/>
      <c r="U62" s="8">
        <f>IF(AND(I62&gt;0,T62&gt;0),T62/I62*1000,"")</f>
        <v/>
      </c>
      <c r="V62" s="6" t="n"/>
      <c r="W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7">
        <f>IF(I63&gt;0,(J63+K63+L63+M63)/I63,"")</f>
        <v/>
      </c>
      <c r="O63" s="6" t="n"/>
      <c r="P63" s="6" t="n"/>
      <c r="Q63" s="6" t="n"/>
      <c r="R63" s="6" t="n"/>
      <c r="S63" s="6" t="n"/>
      <c r="T63" s="6" t="n"/>
      <c r="U63" s="8">
        <f>IF(AND(I63&gt;0,T63&gt;0),T63/I63*1000,"")</f>
        <v/>
      </c>
      <c r="V63" s="6" t="n"/>
      <c r="W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7">
        <f>IF(I64&gt;0,(J64+K64+L64+M64)/I64,"")</f>
        <v/>
      </c>
      <c r="O64" s="6" t="n"/>
      <c r="P64" s="6" t="n"/>
      <c r="Q64" s="6" t="n"/>
      <c r="R64" s="6" t="n"/>
      <c r="S64" s="6" t="n"/>
      <c r="T64" s="6" t="n"/>
      <c r="U64" s="8">
        <f>IF(AND(I64&gt;0,T64&gt;0),T64/I64*1000,"")</f>
        <v/>
      </c>
      <c r="V64" s="6" t="n"/>
      <c r="W64" s="6" t="n"/>
    </row>
  </sheetData>
  <autoFilter ref="A4:W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zoomScale="10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0" customWidth="1" min="2" max="2"/>
    <col width="12" customWidth="1" min="3" max="3"/>
    <col width="20" customWidth="1" min="4" max="4"/>
  </cols>
  <sheetData>
    <row r="1">
      <c r="A1" s="1" t="inlineStr">
        <is>
          <t>Compliance checklist — every creator, every post</t>
        </is>
      </c>
    </row>
    <row r="2">
      <c r="A2" s="2" t="inlineStr">
        <is>
          <t>Summary of ABAC Code (21 May 2025) + Toolkits #2/#3, AANA Code of Ethics 2.7, ACCC, QLD Liquor Act. Not legal advice.</t>
        </is>
      </c>
    </row>
    <row r="4">
      <c r="A4" s="3" t="inlineStr">
        <is>
          <t>Stage</t>
        </is>
      </c>
      <c r="B4" s="3" t="inlineStr">
        <is>
          <t>Check</t>
        </is>
      </c>
      <c r="C4" s="3" t="inlineStr">
        <is>
          <t>Done (Y/N)</t>
        </is>
      </c>
      <c r="D4" s="3" t="inlineStr">
        <is>
          <t>Checked by / date</t>
        </is>
      </c>
    </row>
    <row r="5">
      <c r="A5" s="4" t="inlineStr">
        <is>
          <t>Before contact</t>
        </is>
      </c>
      <c r="B5" s="4" t="inlineStr">
        <is>
          <t>Creator is 25+ and appears 25+ (ABAC Code 3(b)(iii)); not pregnant</t>
        </is>
      </c>
    </row>
    <row r="6">
      <c r="A6" s="5" t="inlineStr">
        <is>
          <t>Before contact</t>
        </is>
      </c>
      <c r="B6" s="5" t="inlineStr">
        <is>
          <t>Audience is 80%+ adult on follower data (ask for an insights screenshot) (Code 4(c))</t>
        </is>
      </c>
    </row>
    <row r="7">
      <c r="A7" s="4" t="inlineStr">
        <is>
          <t>Before contact</t>
        </is>
      </c>
      <c r="B7" s="4" t="inlineStr">
        <is>
          <t>Six-month lookback: no posts that glamorise binge drinking, drink driving, or target minors</t>
        </is>
      </c>
    </row>
    <row r="8">
      <c r="A8" s="5" t="inlineStr">
        <is>
          <t>Before contact</t>
        </is>
      </c>
      <c r="B8" s="5" t="inlineStr">
        <is>
          <t>Not a family/kids-focused account; no content primarily aimed at under-18s</t>
        </is>
      </c>
    </row>
    <row r="9">
      <c r="A9" s="4" t="inlineStr">
        <is>
          <t>Agreement</t>
        </is>
      </c>
      <c r="B9" s="4" t="inlineStr">
        <is>
          <t>Signed agreement: ABAC compliance, disclosure, 18+ age-gating, comment moderation, takedown on request, usage rights</t>
        </is>
      </c>
    </row>
    <row r="10">
      <c r="A10" s="5" t="inlineStr">
        <is>
          <t>Agreement</t>
        </is>
      </c>
      <c r="B10" s="5" t="inlineStr">
        <is>
          <t>Creator has done ABAC's free online course (1 hour) or read Toolkit #3</t>
        </is>
      </c>
    </row>
    <row r="11">
      <c r="A11" s="4" t="inlineStr">
        <is>
          <t>Content</t>
        </is>
      </c>
      <c r="B11" s="4" t="inlineStr">
        <is>
          <t>No drinking shown by anyone under 25 in a visually prominent way; no minors near alcohol</t>
        </is>
      </c>
    </row>
    <row r="12">
      <c r="A12" s="5" t="inlineStr">
        <is>
          <t>Content</t>
        </is>
      </c>
      <c r="B12" s="5" t="inlineStr">
        <is>
          <t>No rapid or excessive drinking, skolling, games, dares, or intoxication played for laughs</t>
        </is>
      </c>
    </row>
    <row r="13">
      <c r="A13" s="4" t="inlineStr">
        <is>
          <t>Content</t>
        </is>
      </c>
      <c r="B13" s="4" t="inlineStr">
        <is>
          <t>No claims that alcohol improves mood, relaxes, or makes the night, the person or the event a success</t>
        </is>
      </c>
    </row>
    <row r="14">
      <c r="A14" s="5" t="inlineStr">
        <is>
          <t>Content</t>
        </is>
      </c>
      <c r="B14" s="5" t="inlineStr">
        <is>
          <t>No alcohol with driving, boating, swimming or machinery; 4WD/Benchy shots with the vehicle parked and the day done</t>
        </is>
      </c>
    </row>
    <row r="15">
      <c r="A15" s="4" t="inlineStr">
        <is>
          <t>Content</t>
        </is>
      </c>
      <c r="B15" s="4" t="inlineStr">
        <is>
          <t>No free or discounted drink offers for on-premises drinking in captions (QLD Liquor Act s142ZZC); no happy hour prices</t>
        </is>
      </c>
    </row>
    <row r="16">
      <c r="A16" s="5" t="inlineStr">
        <is>
          <t>Content</t>
        </is>
      </c>
      <c r="B16" s="5" t="inlineStr">
        <is>
          <t>Strength not emphasised; say 'gluten-reduced', never 'gluten-free'</t>
        </is>
      </c>
    </row>
    <row r="17">
      <c r="A17" s="4" t="inlineStr">
        <is>
          <t>Content</t>
        </is>
      </c>
      <c r="B17" s="4" t="inlineStr">
        <is>
          <t>Responsible-drinking line included (e.g. 'Enjoy responsibly. 18+.')</t>
        </is>
      </c>
    </row>
    <row r="18">
      <c r="A18" s="5" t="inlineStr">
        <is>
          <t>Before posting</t>
        </is>
      </c>
      <c r="B18" s="5" t="inlineStr">
        <is>
          <t>Draft sent to Tap That for approval; paid Reels over $1K or anything borderline sent to ABAC pre-vetting ($250/half-hour, non-signatory)</t>
        </is>
      </c>
    </row>
    <row r="19">
      <c r="A19" s="4" t="inlineStr">
        <is>
          <t>Posting</t>
        </is>
      </c>
      <c r="B19" s="4" t="inlineStr">
        <is>
          <t>Instagram: Paid Partnership label + tag @tapthatbreweryandkeghouse + audience restriction set to 18+</t>
        </is>
      </c>
    </row>
    <row r="20">
      <c r="A20" s="5" t="inlineStr">
        <is>
          <t>Posting</t>
        </is>
      </c>
      <c r="B20" s="5" t="inlineStr">
        <is>
          <t>'#ad' at the start of the caption; 'gifted' alone is not enough (AANA 2.7 / ACCC)</t>
        </is>
      </c>
    </row>
    <row r="21">
      <c r="A21" s="4" t="inlineStr">
        <is>
          <t>Posting</t>
        </is>
      </c>
      <c r="B21" s="4" t="inlineStr">
        <is>
          <t>TikTok: only if Tap That has TikTok approval for alcohol branded content via TikTok One; 18+ audience, disclosure toggle on</t>
        </is>
      </c>
    </row>
    <row r="22">
      <c r="A22" s="5" t="inlineStr">
        <is>
          <t>After posting</t>
        </is>
      </c>
      <c r="B22" s="5" t="inlineStr">
        <is>
          <t>Comments moderated for 72 hours; remove anything encouraging excess or from apparent minors</t>
        </is>
      </c>
    </row>
    <row r="23">
      <c r="A23" s="4" t="inlineStr">
        <is>
          <t>After posting</t>
        </is>
      </c>
      <c r="B23" s="4" t="inlineStr">
        <is>
          <t>Reposts of creator content on Tap That's own account go through the same checks (reposts are Tap That's responsibility)</t>
        </is>
      </c>
    </row>
    <row r="24">
      <c r="A24" s="5" t="inlineStr">
        <is>
          <t>Giveaways</t>
        </is>
      </c>
      <c r="B24" s="5" t="inlineStr">
        <is>
          <t>Any creator giveaway with a liquor prize: 18+ entry, DOB check, free entry (QLD Charitable and Non-Profit Gaming Act s110)</t>
        </is>
      </c>
    </row>
  </sheetData>
  <autoFilter ref="A4:D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10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2" customWidth="1" min="2" max="2"/>
    <col width="70" customWidth="1" min="3" max="3"/>
  </cols>
  <sheetData>
    <row r="1">
      <c r="A1" s="1" t="inlineStr">
        <is>
          <t>Partner channels (not creators)</t>
        </is>
      </c>
    </row>
    <row r="2">
      <c r="A2" s="2" t="inlineStr">
        <is>
          <t>Found during research; useful free or cross-promo channels.</t>
        </is>
      </c>
    </row>
    <row r="4">
      <c r="A4" s="3" t="inlineStr">
        <is>
          <t>Name</t>
        </is>
      </c>
      <c r="B4" s="3" t="inlineStr">
        <is>
          <t>Handle / site</t>
        </is>
      </c>
      <c r="C4" s="3" t="inlineStr">
        <is>
          <t>Use</t>
        </is>
      </c>
    </row>
    <row r="5">
      <c r="A5" s="4" t="inlineStr">
        <is>
          <t>What's On Tweed (Tweed Shire Council)</t>
        </is>
      </c>
      <c r="B5" s="4" t="inlineStr">
        <is>
          <t>whatsontweed.com.au</t>
        </is>
      </c>
      <c r="C5" s="4" t="inlineStr">
        <is>
          <t>Free event submission for live music and tour nights.</t>
        </is>
      </c>
    </row>
    <row r="6">
      <c r="A6" s="5" t="inlineStr">
        <is>
          <t>MNF4x4 Gold Coast (Ironman4x4 Burleigh Heads)</t>
        </is>
      </c>
      <c r="B6" s="5" t="inlineStr">
        <is>
          <t>@mnf4x4goldcoast (~4.2K IG)</t>
        </is>
      </c>
      <c r="C6" s="5" t="inlineStr">
        <is>
          <t>Neighbouring 4x4 shop: cross-promote the Benchy portable tap to their customers.</t>
        </is>
      </c>
    </row>
  </sheetData>
  <autoFilter ref="A4:C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2026-09-28T23:27:50Z</dcterms:created>
  <dcterms:modified xsi:type="dcterms:W3CDTF">2026-09-29T01:04:51Z</dcterms:modified>
</cp:coreProperties>
</file>