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  <sheet name="Top 10" sheetId="2" state="visible" r:id="rId2"/>
    <sheet name="Outreach Tracker" sheetId="3" state="visible" r:id="rId3"/>
    <sheet name="Content &amp; Results" sheetId="4" state="visible" r:id="rId4"/>
    <sheet name="Targets" sheetId="5" state="visible" r:id="rId5"/>
    <sheet name="Compliance Checklist" sheetId="6" state="visible" r:id="rId6"/>
    <sheet name="Dropped" sheetId="7" state="visible" r:id="rId7"/>
    <sheet name="Partner Channels" sheetId="8" state="visible" r:id="rId8"/>
  </sheets>
  <definedNames>
    <definedName name="_xlnm._FilterDatabase" localSheetId="0" hidden="1">'Shortlist'!$A$4:$P$25</definedName>
    <definedName name="_xlnm._FilterDatabase" localSheetId="1" hidden="1">'Top 10'!$A$4:$I$14</definedName>
    <definedName name="_xlnm._FilterDatabase" localSheetId="2" hidden="1">'Outreach Tracker'!$A$4:$Q$25</definedName>
    <definedName name="_xlnm._FilterDatabase" localSheetId="3" hidden="1">'Content &amp; Results'!$A$4:$W$4</definedName>
    <definedName name="_xlnm._FilterDatabase" localSheetId="4" hidden="1">'Targets'!$A$4:$C$13</definedName>
    <definedName name="_xlnm._FilterDatabase" localSheetId="5" hidden="1">'Compliance Checklist'!$A$4:$D$24</definedName>
    <definedName name="_xlnm._FilterDatabase" localSheetId="6" hidden="1">'Dropped'!$A$4:$B$10</definedName>
    <definedName name="_xlnm._FilterDatabase" localSheetId="7" hidden="1">'Partner Channels'!$A$4:$C$7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4">
    <font>
      <name val="Calibri"/>
      <family val="2"/>
      <color theme="1"/>
      <sz val="11"/>
      <scheme val="minor"/>
    </font>
    <font>
      <b val="1"/>
      <color rgb="0014361D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361D"/>
      </patternFill>
    </fill>
    <fill>
      <patternFill patternType="solid">
        <fgColor rgb="00F3F1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18" customWidth="1" min="4" max="4"/>
    <col width="24" customWidth="1" min="5" max="5"/>
    <col width="18" customWidth="1" min="6" max="6"/>
    <col width="28" customWidth="1" min="7" max="7"/>
    <col width="32" customWidth="1" min="8" max="8"/>
    <col width="30" customWidth="1" min="9" max="9"/>
    <col width="44" customWidth="1" min="10" max="10"/>
    <col width="26" customWidth="1" min="11" max="11"/>
    <col width="18" customWidth="1" min="12" max="12"/>
    <col width="8" customWidth="1" min="13" max="13"/>
    <col width="40" customWidth="1" min="14" max="14"/>
    <col width="36" customWidth="1" min="15" max="15"/>
    <col width="40" customWidth="1" min="16" max="16"/>
  </cols>
  <sheetData>
    <row r="1">
      <c r="A1" s="1" t="inlineStr">
        <is>
          <t>Tap That Brewery — influencer shortlist (21, verified)</t>
        </is>
      </c>
    </row>
    <row r="2">
      <c r="A2" s="2" t="inlineStr">
        <is>
          <t>Checked live 29 Sep 2026 from platform data. Every creator must be 25+ (not yet confirmed for any) with an 80%+ adult audience. Creator content is Instagram-only.</t>
        </is>
      </c>
    </row>
    <row r="4">
      <c r="A4" s="3" t="inlineStr">
        <is>
          <t>#</t>
        </is>
      </c>
      <c r="B4" s="3" t="inlineStr">
        <is>
          <t>Name</t>
        </is>
      </c>
      <c r="C4" s="3" t="inlineStr">
        <is>
          <t>Handle</t>
        </is>
      </c>
      <c r="D4" s="3" t="inlineStr">
        <is>
          <t>Platform</t>
        </is>
      </c>
      <c r="E4" s="3" t="inlineStr">
        <is>
          <t>Followers (29 Sep 2026)</t>
        </is>
      </c>
      <c r="F4" s="3" t="inlineStr">
        <is>
          <t>Location</t>
        </is>
      </c>
      <c r="G4" s="3" t="inlineStr">
        <is>
          <t>Content type</t>
        </is>
      </c>
      <c r="H4" s="3" t="inlineStr">
        <is>
          <t>Engagement (measured)</t>
        </is>
      </c>
      <c r="I4" s="3" t="inlineStr">
        <is>
          <t>Contact</t>
        </is>
      </c>
      <c r="J4" s="3" t="inlineStr">
        <is>
          <t>Why they suit Tap That</t>
        </is>
      </c>
      <c r="K4" s="3" t="inlineStr">
        <is>
          <t>Opportunity (paid / gifted / event)</t>
        </is>
      </c>
      <c r="L4" s="3" t="inlineStr">
        <is>
          <t>Tier</t>
        </is>
      </c>
      <c r="M4" s="3" t="inlineStr">
        <is>
          <t>Top 10 rank</t>
        </is>
      </c>
      <c r="N4" s="3" t="inlineStr">
        <is>
          <t>Flags / to verify</t>
        </is>
      </c>
      <c r="O4" s="3" t="inlineStr">
        <is>
          <t>Socials</t>
        </is>
      </c>
      <c r="P4" s="3" t="inlineStr">
        <is>
          <t>Sample of drinks/venue content</t>
        </is>
      </c>
    </row>
    <row r="5">
      <c r="A5" s="4" t="n">
        <v>1</v>
      </c>
      <c r="B5" s="4" t="inlineStr">
        <is>
          <t>Inside Gold Coast</t>
        </is>
      </c>
      <c r="C5" s="4" t="inlineStr">
        <is>
          <t>@insidegoldcoast</t>
        </is>
      </c>
      <c r="D5" s="4" t="inlineStr">
        <is>
          <t>Instagram + TikTok + web</t>
        </is>
      </c>
      <c r="E5" s="4" t="inlineStr">
        <is>
          <t>IG 68K · TikTok 8.0K · YouTube 1.4K</t>
        </is>
      </c>
      <c r="F5" s="4" t="inlineStr">
        <is>
          <t>Gold Coast</t>
        </is>
      </c>
      <c r="G5" s="4" t="inlineStr">
        <is>
          <t>'Everything to eat, drink &amp; do' guide; new web articles weekly</t>
        </is>
      </c>
      <c r="H5" s="4" t="inlineStr">
        <is>
          <t>IG ER not measurable (API blocked). TikTok: typical 1–5K plays; drinks-venue best 449K (Rowdy Ranch); brewery bucket list 911 plays</t>
        </is>
      </c>
      <c r="I5" s="4" t="inlineStr">
        <is>
          <t>(07) 5576 3044; contact form at insidegoldcoast.com.au/contact-us (editor@ email not re-confirmed)</t>
        </is>
      </c>
      <c r="J5" s="4" t="inlineStr">
        <is>
          <t>Its Sept 2026 brewery checklist lists 20 breweries and leaves Tap That off. Editorial pitch first, no fee.</t>
        </is>
      </c>
      <c r="K5" s="4" t="inlineStr">
        <is>
          <t>Editorial pitch; paid feature later</t>
        </is>
      </c>
      <c r="L5" s="4" t="inlineStr">
        <is>
          <t>C · What's on / media</t>
        </is>
      </c>
      <c r="M5" s="4" t="n">
        <v>1</v>
      </c>
      <c r="N5" s="4" t="inlineStr">
        <is>
          <t>Publisher. Ask for audience age split before any paid alcohol content.</t>
        </is>
      </c>
      <c r="O5" s="4" t="inlineStr">
        <is>
          <t>https://www.instagram.com/insidegoldcoast/
https://www.tiktok.com/@insidegoldcoast
https://insidegoldcoast.com.au</t>
        </is>
      </c>
      <c r="P5" s="4" t="inlineStr">
        <is>
          <t>https://www.tiktok.com/@insidegoldcoast/video/7688965213630090516</t>
        </is>
      </c>
    </row>
    <row r="6">
      <c r="A6" s="5" t="n">
        <v>2</v>
      </c>
      <c r="B6" s="5" t="inlineStr">
        <is>
          <t>What's On Goldy</t>
        </is>
      </c>
      <c r="C6" s="5" t="inlineStr">
        <is>
          <t>@whatsongoldy</t>
        </is>
      </c>
      <c r="D6" s="5" t="inlineStr">
        <is>
          <t>Instagram + TikTok + newsletter</t>
        </is>
      </c>
      <c r="E6" s="5" t="inlineStr">
        <is>
          <t>IG 67K (their advertise page says 63K) · TikTok 6.2K</t>
        </is>
      </c>
      <c r="F6" s="5" t="inlineStr">
        <is>
          <t>Gold Coast</t>
        </is>
      </c>
      <c r="G6" s="5" t="inlineStr">
        <is>
          <t>Things to do, date ideas, events, food and bar lists; weekly newsletter</t>
        </is>
      </c>
      <c r="H6" s="5" t="inlineStr">
        <is>
          <t>IG ER not measurable. TikTok 1.5K–301K plays on bar/venue videos</t>
        </is>
      </c>
      <c r="I6" s="5" t="inlineStr">
        <is>
          <t>hello@whatsongoldy.com; media kit on request at whatsongoldy.com/advertise</t>
        </is>
      </c>
      <c r="J6" s="5" t="inlineStr">
        <is>
          <t>The 'what to do this weekend' audience. Clean venue walk-throughs, no on-camera drinking.</t>
        </is>
      </c>
      <c r="K6" s="5" t="inlineStr">
        <is>
          <t>The one paid feature in the core budget + creator night</t>
        </is>
      </c>
      <c r="L6" s="5" t="inlineStr">
        <is>
          <t>C · What's on / media</t>
        </is>
      </c>
      <c r="M6" s="5" t="n">
        <v>2</v>
      </c>
      <c r="N6" s="5" t="inlineStr">
        <is>
          <t>Only 257 IG posts for 67K followers: ask for an insights screenshot before paying.</t>
        </is>
      </c>
      <c r="O6" s="5" t="inlineStr">
        <is>
          <t>https://www.instagram.com/whatsongoldy/
https://www.tiktok.com/@whatsongoldy
https://whatsongoldy.com</t>
        </is>
      </c>
      <c r="P6" s="5" t="inlineStr">
        <is>
          <t>https://www.tiktok.com/@whatsongoldy/video/7630759243238345992</t>
        </is>
      </c>
    </row>
    <row r="7">
      <c r="A7" s="4" t="n">
        <v>3</v>
      </c>
      <c r="B7" s="4" t="inlineStr">
        <is>
          <t>Urban List Gold Coast</t>
        </is>
      </c>
      <c r="C7" s="4" t="inlineStr">
        <is>
          <t>@urbanlistgc</t>
        </is>
      </c>
      <c r="D7" s="4" t="inlineStr">
        <is>
          <t>Instagram + web</t>
        </is>
      </c>
      <c r="E7" s="4" t="inlineStr">
        <is>
          <t>IG 84K</t>
        </is>
      </c>
      <c r="F7" s="4" t="inlineStr">
        <is>
          <t>Gold Coast</t>
        </is>
      </c>
      <c r="G7" s="4" t="inlineStr">
        <is>
          <t>Restaurant, bar and brewery lists</t>
        </is>
      </c>
      <c r="H7" s="4" t="inlineStr">
        <is>
          <t>Not measurable (API blocked)</t>
        </is>
      </c>
      <c r="I7" s="4" t="inlineStr">
        <is>
          <t>partnerships@theurbanlist.com; GC editor Isabel Croker (not re-confirmed)</t>
        </is>
      </c>
      <c r="J7" s="4" t="inlineStr">
        <is>
          <t>'16 of the Gold Coast's best breweries' leaves Tap That off. A free editorial pitch.</t>
        </is>
      </c>
      <c r="K7" s="4" t="inlineStr">
        <is>
          <t>Editorial pitch; paid later if justified</t>
        </is>
      </c>
      <c r="L7" s="4" t="inlineStr">
        <is>
          <t>C · What's on / media</t>
        </is>
      </c>
      <c r="M7" s="4" t="n">
        <v>3</v>
      </c>
      <c r="N7" s="4" t="inlineStr">
        <is>
          <t>Paid partnerships are CPM-based and costly; editorial only in the first 90 days.</t>
        </is>
      </c>
      <c r="O7" s="4" t="inlineStr">
        <is>
          <t>https://www.instagram.com/urbanlistgc/
https://www.theurbanlist.com/goldcoast</t>
        </is>
      </c>
      <c r="P7" s="4" t="inlineStr">
        <is>
          <t>https://www.theurbanlist.com/goldcoast/a-list/best-breweries-on-the-gold-coast-and-nearby</t>
        </is>
      </c>
    </row>
    <row r="8">
      <c r="A8" s="5" t="n">
        <v>4</v>
      </c>
      <c r="B8" s="5" t="inlineStr">
        <is>
          <t>Must Do Gold Coast</t>
        </is>
      </c>
      <c r="C8" s="5" t="inlineStr">
        <is>
          <t>@mustdogoldcoast</t>
        </is>
      </c>
      <c r="D8" s="5" t="inlineStr">
        <is>
          <t>Instagram + Facebook + web</t>
        </is>
      </c>
      <c r="E8" s="5" t="inlineStr">
        <is>
          <t>IG 38K (FB ~57K, unverified)</t>
        </is>
      </c>
      <c r="F8" s="5" t="inlineStr">
        <is>
          <t>Gold Coast</t>
        </is>
      </c>
      <c r="G8" s="5" t="inlineStr">
        <is>
          <t>What's on; sponsored reviews with newsletter and socials</t>
        </is>
      </c>
      <c r="H8" s="5" t="inlineStr">
        <is>
          <t>Not measurable; no brewery reels found</t>
        </is>
      </c>
      <c r="I8" s="5" t="inlineStr">
        <is>
          <t>Valentina Trifunov 0418 516 548 (advertising); Michael Schwartz 0409 573 881 (reviews)</t>
        </is>
      </c>
      <c r="J8" s="5" t="inlineStr">
        <is>
          <t>Its 'best breweries on the Gold Coast' feature already names Tap That: a warm contact. Reaches Facebook, where older keg buyers are.</t>
        </is>
      </c>
      <c r="K8" s="5" t="inlineStr">
        <is>
          <t>Refresh listing now; paid review with the week-6 step-up</t>
        </is>
      </c>
      <c r="L8" s="5" t="inlineStr">
        <is>
          <t>C · What's on / media</t>
        </is>
      </c>
      <c r="M8" s="5" t="n">
        <v>4</v>
      </c>
      <c r="N8" s="5" t="inlineStr">
        <is>
          <t>Site has a Kids/family section: get the adult audience share before paying.</t>
        </is>
      </c>
      <c r="O8" s="5" t="inlineStr">
        <is>
          <t>https://www.instagram.com/mustdogoldcoast/
https://www.mustdogoldcoast.com</t>
        </is>
      </c>
      <c r="P8" s="5" t="inlineStr">
        <is>
          <t>https://www.mustdogoldcoast.com/features/best-breweries-on-gold-coast</t>
        </is>
      </c>
    </row>
    <row r="9">
      <c r="A9" s="4" t="n">
        <v>5</v>
      </c>
      <c r="B9" s="4" t="inlineStr">
        <is>
          <t>Good Food Gold Coast (Marj Osborne)</t>
        </is>
      </c>
      <c r="C9" s="4" t="inlineStr">
        <is>
          <t>@foodgoldcoast</t>
        </is>
      </c>
      <c r="D9" s="4" t="inlineStr">
        <is>
          <t>Instagram + website</t>
        </is>
      </c>
      <c r="E9" s="4" t="inlineStr">
        <is>
          <t>IG 12.1K (3,652 posts)</t>
        </is>
      </c>
      <c r="F9" s="4" t="inlineStr">
        <is>
          <t>Gold Coast</t>
        </is>
      </c>
      <c r="G9" s="4" t="inlineStr">
        <is>
          <t>Independent GC food writing for 25 years; near-daily posts, weekly articles</t>
        </is>
      </c>
      <c r="H9" s="4" t="inlineStr">
        <is>
          <t>~33 likes + ~19 comments per post (~0.4%). Old media kit: audience 36% 25–34, 32% 35–44, 57% Gold Coast</t>
        </is>
      </c>
      <c r="I9" s="4" t="inlineStr">
        <is>
          <t>admin@foodgoldcoast.com.au; marj.oz@live.com.au</t>
        </is>
      </c>
      <c r="J9" s="4" t="inlineStr">
        <is>
          <t>Credible local voice with a verified adult audience; a web article also helps search.</t>
        </is>
      </c>
      <c r="K9" s="4" t="inlineStr">
        <is>
          <t>Hosted visit for a post + article</t>
        </is>
      </c>
      <c r="L9" s="4" t="inlineStr">
        <is>
          <t>A · Food &amp; drink</t>
        </is>
      </c>
      <c r="M9" s="4" t="n">
        <v>5</v>
      </c>
      <c r="N9" s="4" t="inlineStr">
        <is>
          <t>No brewery piece found; closest is a winery/cellar-door feature.</t>
        </is>
      </c>
      <c r="O9" s="4" t="inlineStr">
        <is>
          <t>https://www.instagram.com/foodgoldcoast/
https://foodgoldcoast.com.au</t>
        </is>
      </c>
      <c r="P9" s="4" t="inlineStr">
        <is>
          <t>https://foodgoldcoast.com.au/among-the-vines-in-the-margaret-river/</t>
        </is>
      </c>
    </row>
    <row r="10">
      <c r="A10" s="5" t="n">
        <v>6</v>
      </c>
      <c r="B10" s="5" t="inlineStr">
        <is>
          <t>The Weekend Edition Gold Coast</t>
        </is>
      </c>
      <c r="C10" s="5" t="inlineStr">
        <is>
          <t>@theweekendeditiongoldcoast</t>
        </is>
      </c>
      <c r="D10" s="5" t="inlineStr">
        <is>
          <t>Instagram + newsletter + web</t>
        </is>
      </c>
      <c r="E10" s="5" t="inlineStr">
        <is>
          <t>IG 33K · newsletter 13K subscribers (Solstice Media, Jan 2026)</t>
        </is>
      </c>
      <c r="F10" s="5" t="inlineStr">
        <is>
          <t>Gold Coast</t>
        </is>
      </c>
      <c r="G10" s="5" t="inlineStr">
        <is>
          <t>Weekly events, food and drink guide</t>
        </is>
      </c>
      <c r="H10" s="5" t="inlineStr">
        <is>
          <t>Not measurable. Web: 22.6K monthly uniques (Jan 2026)</t>
        </is>
      </c>
      <c r="I10" s="5" t="inlineStr">
        <is>
          <t>Contact form; Solstice Media commercial team</t>
        </is>
      </c>
      <c r="J10" s="5" t="inlineStr">
        <is>
          <t>Weekend planners; covered a Burleigh brewery event (22 Sep 2026). Free listings.</t>
        </is>
      </c>
      <c r="K10" s="5" t="inlineStr">
        <is>
          <t>Free event listings; hosted visit</t>
        </is>
      </c>
      <c r="L10" s="5" t="inlineStr">
        <is>
          <t>C · What's on / media</t>
        </is>
      </c>
      <c r="M10" s="5" t="n">
        <v>6</v>
      </c>
      <c r="N10" s="5" t="inlineStr">
        <is>
          <t>Its brewery story used 'overflowing steins' copy: our own listings stay moderate.</t>
        </is>
      </c>
      <c r="O10" s="5" t="inlineStr">
        <is>
          <t>https://www.instagram.com/theweekendeditiongoldcoast/
https://www.indailyqld.com.au/theweekendedition-goldcoast</t>
        </is>
      </c>
      <c r="P10" s="5" t="inlineStr">
        <is>
          <t>https://www.indailyqld.com.au/theweekendedition-goldcoast/food-drink/2026/09/22/frothtoberfest-burleigh-brewing</t>
        </is>
      </c>
    </row>
    <row r="11">
      <c r="A11" s="4" t="n">
        <v>7</v>
      </c>
      <c r="B11" s="4" t="inlineStr">
        <is>
          <t>Lucy Klodinsky</t>
        </is>
      </c>
      <c r="C11" s="4" t="inlineStr">
        <is>
          <t>@badgalfoody</t>
        </is>
      </c>
      <c r="D11" s="4" t="inlineStr">
        <is>
          <t>Instagram + TikTok</t>
        </is>
      </c>
      <c r="E11" s="4" t="inlineStr">
        <is>
          <t>IG 13.7K · TikTok 9.3K</t>
        </is>
      </c>
      <c r="F11" s="4" t="inlineStr">
        <is>
          <t>Gold Coast (and Melbourne)</t>
        </is>
      </c>
      <c r="G11" s="4" t="inlineStr">
        <is>
          <t>GC restaurant and café reviews, daily</t>
        </is>
      </c>
      <c r="H11" s="4" t="inlineStr">
        <is>
          <t>IG ~62 likes/post (~0.45%). TikTok median 1.7K views; best 205K (taco bar)</t>
        </is>
      </c>
      <c r="I11" s="4" t="inlineStr">
        <is>
          <t>hello@badgalfoody.com</t>
        </is>
      </c>
      <c r="J11" s="4" t="inlineStr">
        <is>
          <t>Active daily GC reviewer with an Instagram following; food-first format.</t>
        </is>
      </c>
      <c r="K11" s="4" t="inlineStr">
        <is>
          <t>Hosted visit</t>
        </is>
      </c>
      <c r="L11" s="4" t="inlineStr">
        <is>
          <t>A · Food &amp; drink</t>
        </is>
      </c>
      <c r="M11" s="4" t="n">
        <v>7</v>
      </c>
      <c r="N11" s="4" t="inlineStr">
        <is>
          <t>ABAC: has used '$5 margs' framing and a drinking-game caption; brief tightly. No brewery content yet. Confirm 25+.</t>
        </is>
      </c>
      <c r="O11" s="4" t="inlineStr">
        <is>
          <t>https://www.instagram.com/badgalfoody/
https://www.tiktok.com/@badgalfoody</t>
        </is>
      </c>
      <c r="P11" s="4" t="inlineStr">
        <is>
          <t>https://www.tiktok.com/@badgalfoody/video/7481623169124551944</t>
        </is>
      </c>
    </row>
    <row r="12">
      <c r="A12" s="5" t="n">
        <v>8</v>
      </c>
      <c r="B12" s="5" t="inlineStr">
        <is>
          <t>Jon Wyeth</t>
        </is>
      </c>
      <c r="C12" s="5" t="inlineStr">
        <is>
          <t>@jon.wyeth</t>
        </is>
      </c>
      <c r="D12" s="5" t="inlineStr">
        <is>
          <t>Instagram + TikTok + YouTube</t>
        </is>
      </c>
      <c r="E12" s="5" t="inlineStr">
        <is>
          <t>IG 95K · TikTok 131.5K · YouTube 7.3K</t>
        </is>
      </c>
      <c r="F12" s="5" t="inlineStr">
        <is>
          <t>Brisbane</t>
        </is>
      </c>
      <c r="G12" s="5" t="inlineStr">
        <is>
          <t>Food and 'weird stuff' vlogs; pubs, brewhouses, Meatstock</t>
        </is>
      </c>
      <c r="H12" s="5" t="inlineStr">
        <is>
          <t>IG ~0.9% (reel sample). TikTok drinks-venue videos 41–70K plays</t>
        </is>
      </c>
      <c r="I12" s="5" t="inlineStr">
        <is>
          <t>talent@neuralle.com (Neuralle management)</t>
        </is>
      </c>
      <c r="J12" s="5" t="inlineStr">
        <is>
          <t>Cleanest brewery format on the list: voiceover 'hidden gem', little on-camera drinking. Male-leaning SEQ audience for the home keg piece.</t>
        </is>
      </c>
      <c r="K12" s="5" t="inlineStr">
        <is>
          <t>Paid home keg piece, week-6 step-up only</t>
        </is>
      </c>
      <c r="L12" s="5" t="inlineStr">
        <is>
          <t>E · Home &amp; outdoor</t>
        </is>
      </c>
      <c r="M12" s="5" t="n">
        <v>8</v>
      </c>
      <c r="N12" s="5" t="inlineStr">
        <is>
          <t>Brisbane-centred (~8% Gold Coast audience per Modash). Age not public: confirm 25+. One bottomless post.</t>
        </is>
      </c>
      <c r="O12" s="5" t="inlineStr">
        <is>
          <t>https://www.instagram.com/jon.wyeth/
https://www.tiktok.com/@jon.wyeth</t>
        </is>
      </c>
      <c r="P12" s="5" t="inlineStr">
        <is>
          <t>https://www.tiktok.com/@jon.wyeth/video/7683823372815404309</t>
        </is>
      </c>
    </row>
    <row r="13">
      <c r="A13" s="4" t="n">
        <v>9</v>
      </c>
      <c r="B13" s="4" t="inlineStr">
        <is>
          <t>Ethan Cox</t>
        </is>
      </c>
      <c r="C13" s="4" t="inlineStr">
        <is>
          <t>@ethan.cox01</t>
        </is>
      </c>
      <c r="D13" s="4" t="inlineStr">
        <is>
          <t>TikTok</t>
        </is>
      </c>
      <c r="E13" s="4" t="inlineStr">
        <is>
          <t>TikTok 10.8K (322K likes). No Instagram confirmed</t>
        </is>
      </c>
      <c r="F13" s="4" t="inlineStr">
        <is>
          <t>Gold Coast</t>
        </is>
      </c>
      <c r="G13" s="4" t="inlineStr">
        <is>
          <t>'Best X on the Gold Coast?!' food, pub and brewery reviews</t>
        </is>
      </c>
      <c r="H13" s="4" t="inlineStr">
        <is>
          <t>TikTok median 25.1K views over last 10 (~2.3× followers); Madocke brewery review 32.7K plays</t>
        </is>
      </c>
      <c r="I13" s="4" t="inlineStr">
        <is>
          <t>ethancoxcontent@outlook.com</t>
        </is>
      </c>
      <c r="J13" s="4" t="inlineStr">
        <is>
          <t>Strongest proven brewery review format and best reach per follower on the list.</t>
        </is>
      </c>
      <c r="K13" s="4" t="inlineStr">
        <is>
          <t>Hosted visit + creator night; Instagram first</t>
        </is>
      </c>
      <c r="L13" s="4" t="inlineStr">
        <is>
          <t>A · Food &amp; drink</t>
        </is>
      </c>
      <c r="M13" s="4" t="n">
        <v>9</v>
      </c>
      <c r="N13" s="4" t="inlineStr">
        <is>
          <t>ABAC HIGH: brewery video jokes about getting 'smashed', slurring, strength. Brief to paddle + food, no strength talk; approve the edit. TikTok-only audience. Confirm 25+.</t>
        </is>
      </c>
      <c r="O13" s="4" t="inlineStr">
        <is>
          <t>https://www.tiktok.com/@ethan.cox01</t>
        </is>
      </c>
      <c r="P13" s="4" t="inlineStr">
        <is>
          <t>https://www.tiktok.com/@ethan.cox01/video/7671888783968718101</t>
        </is>
      </c>
    </row>
    <row r="14">
      <c r="A14" s="5" t="n">
        <v>10</v>
      </c>
      <c r="B14" s="5" t="inlineStr">
        <is>
          <t>Lauren</t>
        </is>
      </c>
      <c r="C14" s="5" t="inlineStr">
        <is>
          <t>@laurenguides</t>
        </is>
      </c>
      <c r="D14" s="5" t="inlineStr">
        <is>
          <t>Instagram + TikTok</t>
        </is>
      </c>
      <c r="E14" s="5" t="inlineStr">
        <is>
          <t>IG 3.1K · TikTok 9.7K</t>
        </is>
      </c>
      <c r="F14" s="5" t="inlineStr">
        <is>
          <t>Gold Coast</t>
        </is>
      </c>
      <c r="G14" s="5" t="inlineStr">
        <is>
          <t>Venue guides incl. Burleigh bars; also UGC</t>
        </is>
      </c>
      <c r="H14" s="5" t="inlineStr">
        <is>
          <t>IG median ~57 likes (~1.8%); Conka Reel 4,866 views / 212 likes. TikTok median 1.6K views</t>
        </is>
      </c>
      <c r="I14" s="5" t="inlineStr">
        <is>
          <t>laurenguides@outlook.com</t>
        </is>
      </c>
      <c r="J14" s="5" t="inlineStr">
        <is>
          <t>Has filmed a Burleigh taproom trivia night; covers Burleigh bars.</t>
        </is>
      </c>
      <c r="K14" s="5" t="inlineStr">
        <is>
          <t>Hosted visit on a trivia or live-music night</t>
        </is>
      </c>
      <c r="L14" s="5" t="inlineStr">
        <is>
          <t>A · Food &amp; drink</t>
        </is>
      </c>
      <c r="M14" s="5" t="n">
        <v>10</v>
      </c>
      <c r="N14" s="5" t="inlineStr">
        <is>
          <t>ABAC HIGH: bottomless brunch is her core drinks format; a paid #predrink post. Brief to trivia/food format only. Confirm 25+.</t>
        </is>
      </c>
      <c r="O14" s="5" t="inlineStr">
        <is>
          <t>https://www.instagram.com/laurenguides/
https://www.tiktok.com/@laurenguides</t>
        </is>
      </c>
      <c r="P14" s="5" t="inlineStr">
        <is>
          <t>https://www.tiktok.com/@laurenguides/video/7559112461400526088</t>
        </is>
      </c>
    </row>
    <row r="15">
      <c r="A15" s="4" t="n">
        <v>11</v>
      </c>
      <c r="B15" s="4" t="inlineStr">
        <is>
          <t>Gold Coast foodie</t>
        </is>
      </c>
      <c r="C15" s="4" t="inlineStr">
        <is>
          <t>@gc_eats</t>
        </is>
      </c>
      <c r="D15" s="4" t="inlineStr">
        <is>
          <t>Instagram + TikTok</t>
        </is>
      </c>
      <c r="E15" s="4" t="inlineStr">
        <is>
          <t>IG 7.6K · TikTok 1.4K</t>
        </is>
      </c>
      <c r="F15" s="4" t="inlineStr">
        <is>
          <t>Gold Coast</t>
        </is>
      </c>
      <c r="G15" s="4" t="inlineStr">
        <is>
          <t>GC eats and new openings</t>
        </is>
      </c>
      <c r="H15" s="4" t="inlineStr">
        <is>
          <t>IG median ~42 likes (~0.55%) — not the 14% a stats site reported. TikTok ~1K views</t>
        </is>
      </c>
      <c r="I15" s="4" t="inlineStr">
        <is>
          <t>gc.eatss@gmail.com</t>
        </is>
      </c>
      <c r="J15" s="4" t="inlineStr">
        <is>
          <t>GC-only feature page; looks like feature-for-hire rather than a personality.</t>
        </is>
      </c>
      <c r="K15" s="4" t="inlineStr">
        <is>
          <t>Hosted visit (wave 2)</t>
        </is>
      </c>
      <c r="L15" s="4" t="inlineStr">
        <is>
          <t>A · Food &amp; drink</t>
        </is>
      </c>
      <c r="M15" s="4" t="inlineStr"/>
      <c r="N15" s="4" t="inlineStr">
        <is>
          <t>No brewery content found.</t>
        </is>
      </c>
      <c r="O15" s="4" t="inlineStr">
        <is>
          <t>https://www.instagram.com/gc_eats/
https://www.tiktok.com/@gc_eats</t>
        </is>
      </c>
      <c r="P15" s="4" t="inlineStr"/>
    </row>
    <row r="16">
      <c r="A16" s="5" t="n">
        <v>12</v>
      </c>
      <c r="B16" s="5" t="inlineStr">
        <is>
          <t>Catherine</t>
        </is>
      </c>
      <c r="C16" s="5" t="inlineStr">
        <is>
          <t>@goldcoastfoodie</t>
        </is>
      </c>
      <c r="D16" s="5" t="inlineStr">
        <is>
          <t>Instagram</t>
        </is>
      </c>
      <c r="E16" s="5" t="inlineStr">
        <is>
          <t>IG 36.8K · TikTok 1.2K</t>
        </is>
      </c>
      <c r="F16" s="5" t="inlineStr">
        <is>
          <t>Gold Coast</t>
        </is>
      </c>
      <c r="G16" s="5" t="inlineStr">
        <is>
          <t>GC venue and opening features</t>
        </is>
      </c>
      <c r="H16" s="5" t="inlineStr">
        <is>
          <t>IG ~119 likes (~0.32%); only 3 posts in 2026</t>
        </is>
      </c>
      <c r="I16" s="5" t="inlineStr">
        <is>
          <t>goldcoastfoodie@gmail.com</t>
        </is>
      </c>
      <c r="J16" s="5" t="inlineStr">
        <is>
          <t>Known local handle with drinks-event experience; posting has become sporadic.</t>
        </is>
      </c>
      <c r="K16" s="5" t="inlineStr">
        <is>
          <t>Hosted visit (wave 2)</t>
        </is>
      </c>
      <c r="L16" s="5" t="inlineStr">
        <is>
          <t>A · Food &amp; drink</t>
        </is>
      </c>
      <c r="M16" s="5" t="inlineStr"/>
      <c r="N16" s="5" t="inlineStr">
        <is>
          <t>Low activity in 2026.</t>
        </is>
      </c>
      <c r="O16" s="5" t="inlineStr">
        <is>
          <t>https://www.instagram.com/goldcoastfoodie/</t>
        </is>
      </c>
      <c r="P16" s="5" t="inlineStr"/>
    </row>
    <row r="17">
      <c r="A17" s="4" t="n">
        <v>13</v>
      </c>
      <c r="B17" s="4" t="inlineStr">
        <is>
          <t>Gold Coast Eats</t>
        </is>
      </c>
      <c r="C17" s="4" t="inlineStr">
        <is>
          <t>@goldcoasteats</t>
        </is>
      </c>
      <c r="D17" s="4" t="inlineStr">
        <is>
          <t>Instagram</t>
        </is>
      </c>
      <c r="E17" s="4" t="inlineStr">
        <is>
          <t>IG 40K</t>
        </is>
      </c>
      <c r="F17" s="4" t="inlineStr">
        <is>
          <t>Gold Coast</t>
        </is>
      </c>
      <c r="G17" s="4" t="inlineStr">
        <is>
          <t>'Best eats &amp; drinks' guide</t>
        </is>
      </c>
      <c r="H17" s="4" t="inlineStr">
        <is>
          <t>Not measurable; low posting rate</t>
        </is>
      </c>
      <c r="I17" s="4" t="inlineStr">
        <is>
          <t>DM</t>
        </is>
      </c>
      <c r="J17" s="4" t="inlineStr">
        <is>
          <t>Large local food and drink page.</t>
        </is>
      </c>
      <c r="K17" s="4" t="inlineStr">
        <is>
          <t>Hosted visit or paid feature</t>
        </is>
      </c>
      <c r="L17" s="4" t="inlineStr">
        <is>
          <t>A · Food &amp; drink</t>
        </is>
      </c>
      <c r="M17" s="4" t="inlineStr"/>
      <c r="N17" s="4" t="inlineStr">
        <is>
          <t>Owner not public; recent activity unverified.</t>
        </is>
      </c>
      <c r="O17" s="4" t="inlineStr">
        <is>
          <t>https://www.instagram.com/goldcoasteats/</t>
        </is>
      </c>
      <c r="P17" s="4" t="inlineStr"/>
    </row>
    <row r="18">
      <c r="A18" s="5" t="n">
        <v>14</v>
      </c>
      <c r="B18" s="5" t="inlineStr">
        <is>
          <t>Tushna Mehta</t>
        </is>
      </c>
      <c r="C18" s="5" t="inlineStr">
        <is>
          <t>@thefoodhedonist</t>
        </is>
      </c>
      <c r="D18" s="5" t="inlineStr">
        <is>
          <t>Instagram + website</t>
        </is>
      </c>
      <c r="E18" s="5" t="inlineStr">
        <is>
          <t>IG 12.5K</t>
        </is>
      </c>
      <c r="F18" s="5" t="inlineStr">
        <is>
          <t>Gold Coast / Brisbane</t>
        </is>
      </c>
      <c r="G18" s="5" t="inlineStr">
        <is>
          <t>Food, wine and hospitality storytelling; creates content for venues</t>
        </is>
      </c>
      <c r="H18" s="5" t="inlineStr">
        <is>
          <t>IG ~0.4% median</t>
        </is>
      </c>
      <c r="I18" s="5" t="inlineStr">
        <is>
          <t>thefoodhedonist1@gmail.com; 'Work with me' at thefoodhedonist.com</t>
        </is>
      </c>
      <c r="J18" s="5" t="inlineStr">
        <is>
          <t>Professional hospitality creator; best for Reels on Tap That's own channels.</t>
        </is>
      </c>
      <c r="K18" s="5" t="inlineStr">
        <is>
          <t>Paid content creation</t>
        </is>
      </c>
      <c r="L18" s="5" t="inlineStr">
        <is>
          <t>A · Food &amp; drink</t>
        </is>
      </c>
      <c r="M18" s="5" t="inlineStr"/>
      <c r="N18" s="5" t="inlineStr">
        <is>
          <t>Posting from Europe since Aug 2026 (last GC post 18 Jul): check she is back.</t>
        </is>
      </c>
      <c r="O18" s="5" t="inlineStr">
        <is>
          <t>https://www.instagram.com/thefoodhedonist/
https://thefoodhedonist.com</t>
        </is>
      </c>
      <c r="P18" s="5" t="inlineStr"/>
    </row>
    <row r="19">
      <c r="A19" s="4" t="n">
        <v>15</v>
      </c>
      <c r="B19" s="4" t="inlineStr">
        <is>
          <t>Food Fantasia</t>
        </is>
      </c>
      <c r="C19" s="4" t="inlineStr">
        <is>
          <t>@foodfantasia_</t>
        </is>
      </c>
      <c r="D19" s="4" t="inlineStr">
        <is>
          <t>Instagram + TikTok</t>
        </is>
      </c>
      <c r="E19" s="4" t="inlineStr">
        <is>
          <t>IG 9.5K · TikTok 3.4K</t>
        </is>
      </c>
      <c r="F19" s="4" t="inlineStr">
        <is>
          <t>Brisbane (some GC)</t>
        </is>
      </c>
      <c r="G19" s="4" t="inlineStr">
        <is>
          <t>Reviews and new openings, daily</t>
        </is>
      </c>
      <c r="H19" s="4" t="inlineStr">
        <is>
          <t>IG ~1.6%; TikTok median 1.6K views</t>
        </is>
      </c>
      <c r="I19" s="4" t="inlineStr">
        <is>
          <t>foodfantasiamedia@gmail.com</t>
        </is>
      </c>
      <c r="J19" s="4" t="inlineStr">
        <is>
          <t>Very active, good engagement, but Brisbane audience.</t>
        </is>
      </c>
      <c r="K19" s="4" t="inlineStr">
        <is>
          <t>Hosted visit (wave 2)</t>
        </is>
      </c>
      <c r="L19" s="4" t="inlineStr">
        <is>
          <t>A · Food &amp; drink</t>
        </is>
      </c>
      <c r="M19" s="4" t="inlineStr"/>
      <c r="N19" s="4" t="inlineStr">
        <is>
          <t>ABAC moderate–high: bottomless spritz and '4 rounds of cocktails' content.</t>
        </is>
      </c>
      <c r="O19" s="4" t="inlineStr">
        <is>
          <t>https://www.instagram.com/foodfantasia_/
https://www.tiktok.com/@foodfantasia_</t>
        </is>
      </c>
      <c r="P19" s="4" t="inlineStr"/>
    </row>
    <row r="20">
      <c r="A20" s="5" t="n">
        <v>16</v>
      </c>
      <c r="B20" s="5" t="inlineStr">
        <is>
          <t>Tweed Coast Guide</t>
        </is>
      </c>
      <c r="C20" s="5" t="inlineStr">
        <is>
          <t>@tweedcoastguide</t>
        </is>
      </c>
      <c r="D20" s="5" t="inlineStr">
        <is>
          <t>Instagram + web</t>
        </is>
      </c>
      <c r="E20" s="5" t="inlineStr">
        <is>
          <t>IG 16K</t>
        </is>
      </c>
      <c r="F20" s="5" t="inlineStr">
        <is>
          <t>Tweed Coast (Kingscliff, Cabarita)</t>
        </is>
      </c>
      <c r="G20" s="5" t="inlineStr">
        <is>
          <t>Visitor guide and local business reviews</t>
        </is>
      </c>
      <c r="H20" s="5" t="inlineStr">
        <is>
          <t>Not measurable; 3,783 following suggests follow-for-follow growth</t>
        </is>
      </c>
      <c r="I20" s="5" t="inlineStr">
        <is>
          <t>info@tweedcoastguide.com.au</t>
        </is>
      </c>
      <c r="J20" s="5" t="inlineStr">
        <is>
          <t>Reaches Tweed locals and holidaymakers 20 minutes from Burleigh.</t>
        </is>
      </c>
      <c r="K20" s="5" t="inlineStr">
        <is>
          <t>Hosted visit or listing</t>
        </is>
      </c>
      <c r="L20" s="5" t="inlineStr">
        <is>
          <t>D · Northern NSW</t>
        </is>
      </c>
      <c r="M20" s="5" t="inlineStr"/>
      <c r="N20" s="5" t="inlineStr">
        <is>
          <t>Engagement unverified.</t>
        </is>
      </c>
      <c r="O20" s="5" t="inlineStr">
        <is>
          <t>https://www.instagram.com/tweedcoastguide/
https://tweedcoastguide.com.au</t>
        </is>
      </c>
      <c r="P20" s="5" t="inlineStr"/>
    </row>
    <row r="21">
      <c r="A21" s="4" t="n">
        <v>17</v>
      </c>
      <c r="B21" s="4" t="inlineStr">
        <is>
          <t>Cat Jones, Byron Bay Eats</t>
        </is>
      </c>
      <c r="C21" s="4" t="inlineStr">
        <is>
          <t>@byron.bay.eats</t>
        </is>
      </c>
      <c r="D21" s="4" t="inlineStr">
        <is>
          <t>Instagram</t>
        </is>
      </c>
      <c r="E21" s="4" t="inlineStr">
        <is>
          <t>IG 13K</t>
        </is>
      </c>
      <c r="F21" s="4" t="inlineStr">
        <is>
          <t>Byron Bay</t>
        </is>
      </c>
      <c r="G21" s="4" t="inlineStr">
        <is>
          <t>Food guide; monthly foodie top 10 for byronbay.com</t>
        </is>
      </c>
      <c r="H21" s="4" t="inlineStr">
        <is>
          <t>~1.1% (Apr 2025 sample)</t>
        </is>
      </c>
      <c r="I21" s="4" t="inlineStr">
        <is>
          <t>DM or via byronbay.com</t>
        </is>
      </c>
      <c r="J21" s="4" t="inlineStr">
        <is>
          <t>Respected Northern Rivers food voice; day-trip angle.</t>
        </is>
      </c>
      <c r="K21" s="4" t="inlineStr">
        <is>
          <t>Hosted visit (wave 2)</t>
        </is>
      </c>
      <c r="L21" s="4" t="inlineStr">
        <is>
          <t>D · Northern NSW</t>
        </is>
      </c>
      <c r="M21" s="4" t="inlineStr"/>
      <c r="N21" s="4" t="inlineStr">
        <is>
          <t>Byron is ~1 hr away.</t>
        </is>
      </c>
      <c r="O21" s="4" t="inlineStr">
        <is>
          <t>https://www.instagram.com/byron.bay.eats/</t>
        </is>
      </c>
      <c r="P21" s="4" t="inlineStr"/>
    </row>
    <row r="22">
      <c r="A22" s="5" t="n">
        <v>18</v>
      </c>
      <c r="B22" s="5" t="inlineStr">
        <is>
          <t>Byron What's On &amp; To Do</t>
        </is>
      </c>
      <c r="C22" s="5" t="inlineStr">
        <is>
          <t>@northernriversconnect</t>
        </is>
      </c>
      <c r="D22" s="5" t="inlineStr">
        <is>
          <t>Instagram</t>
        </is>
      </c>
      <c r="E22" s="5" t="inlineStr">
        <is>
          <t>IG 14K</t>
        </is>
      </c>
      <c r="F22" s="5" t="inlineStr">
        <is>
          <t>Byron, Mullumbimby, Ballina</t>
        </is>
      </c>
      <c r="G22" s="5" t="inlineStr">
        <is>
          <t>Monthly gig and event roundups</t>
        </is>
      </c>
      <c r="H22" s="5" t="inlineStr">
        <is>
          <t>Not measurable; 6,968 following suggests follow-for-follow</t>
        </is>
      </c>
      <c r="I22" s="5" t="inlineStr">
        <is>
          <t>DM</t>
        </is>
      </c>
      <c r="J22" s="5" t="inlineStr">
        <is>
          <t>Free listing for Tap That's live music.</t>
        </is>
      </c>
      <c r="K22" s="5" t="inlineStr">
        <is>
          <t>Free event listing</t>
        </is>
      </c>
      <c r="L22" s="5" t="inlineStr">
        <is>
          <t>D · Northern NSW</t>
        </is>
      </c>
      <c r="M22" s="5" t="inlineStr"/>
      <c r="N22" s="5" t="inlineStr">
        <is>
          <t>Recent activity unverified.</t>
        </is>
      </c>
      <c r="O22" s="5" t="inlineStr">
        <is>
          <t>https://www.instagram.com/northernriversconnect/</t>
        </is>
      </c>
      <c r="P22" s="5" t="inlineStr"/>
    </row>
    <row r="23">
      <c r="A23" s="4" t="n">
        <v>19</v>
      </c>
      <c r="B23" s="4" t="inlineStr">
        <is>
          <t>Magdalena Roze</t>
        </is>
      </c>
      <c r="C23" s="4" t="inlineStr">
        <is>
          <t>@magdalena_roze</t>
        </is>
      </c>
      <c r="D23" s="4" t="inlineStr">
        <is>
          <t>Instagram + Substack</t>
        </is>
      </c>
      <c r="E23" s="4" t="inlineStr">
        <is>
          <t>IG 90K</t>
        </is>
      </c>
      <c r="F23" s="4" t="inlineStr">
        <is>
          <t>Byron Bay</t>
        </is>
      </c>
      <c r="G23" s="4" t="inlineStr">
        <is>
          <t>Journalist, presenter, cookbook author; weekly Substack</t>
        </is>
      </c>
      <c r="H23" s="4" t="inlineStr">
        <is>
          <t>~0.5% (Jul 2026 sample)</t>
        </is>
      </c>
      <c r="I23" s="4" t="inlineStr">
        <is>
          <t>Via Substack / management (not found)</t>
        </is>
      </c>
      <c r="J23" s="4" t="inlineStr">
        <is>
          <t>Established Byron food writer; later option for a new-release story.</t>
        </is>
      </c>
      <c r="K23" s="4" t="inlineStr">
        <is>
          <t>Paid (later)</t>
        </is>
      </c>
      <c r="L23" s="4" t="inlineStr">
        <is>
          <t>D · Northern NSW</t>
        </is>
      </c>
      <c r="M23" s="4" t="inlineStr"/>
      <c r="N23" s="4" t="inlineStr">
        <is>
          <t>Large and expensive; partner runs Three Blue Ducks.</t>
        </is>
      </c>
      <c r="O23" s="4" t="inlineStr">
        <is>
          <t>https://www.instagram.com/magdalena_roze/</t>
        </is>
      </c>
      <c r="P23" s="4" t="inlineStr"/>
    </row>
    <row r="24">
      <c r="A24" s="5" t="n">
        <v>20</v>
      </c>
      <c r="B24" s="5" t="inlineStr">
        <is>
          <t>Mick Viller, The Camp Oven Cook</t>
        </is>
      </c>
      <c r="C24" s="5" t="inlineStr">
        <is>
          <t>@thecampovencook</t>
        </is>
      </c>
      <c r="D24" s="5" t="inlineStr">
        <is>
          <t>TikTok + YouTube + Instagram</t>
        </is>
      </c>
      <c r="E24" s="5" t="inlineStr">
        <is>
          <t>TikTok 5.5K · IG 3.7K · YouTube 3.5K</t>
        </is>
      </c>
      <c r="F24" s="5" t="inlineStr">
        <is>
          <t>South East Queensland</t>
        </is>
      </c>
      <c r="G24" s="5" t="inlineStr">
        <is>
          <t>Camp-oven cooking; presents at caravan and 4x4 shows</t>
        </is>
      </c>
      <c r="H24" s="5" t="inlineStr">
        <is>
          <t>Low online reach (TikTok ~525 plays)</t>
        </is>
      </c>
      <c r="I24" s="5" t="inlineStr">
        <is>
          <t>mick@thecampovencook.com.au</t>
        </is>
      </c>
      <c r="J24" s="5" t="inlineStr">
        <is>
          <t>Older male camping audience for the Benchy; value is the show circuit.</t>
        </is>
      </c>
      <c r="K24" s="5" t="inlineStr">
        <is>
          <t>Benchy trial; paid video with the step-up</t>
        </is>
      </c>
      <c r="L24" s="5" t="inlineStr">
        <is>
          <t>E · Home &amp; outdoor</t>
        </is>
      </c>
      <c r="M24" s="5" t="inlineStr"/>
      <c r="N24" s="5" t="inlineStr">
        <is>
          <t>No brewery or bar content. ABAC: no pours near vehicles or boats in use.</t>
        </is>
      </c>
      <c r="O24" s="5" t="inlineStr">
        <is>
          <t>https://www.tiktok.com/@thecampovencook
https://thecampovencook.com.au</t>
        </is>
      </c>
      <c r="P24" s="5" t="inlineStr"/>
    </row>
    <row r="25">
      <c r="A25" s="4" t="n">
        <v>21</v>
      </c>
      <c r="B25" s="4" t="inlineStr">
        <is>
          <t>Reese Bros</t>
        </is>
      </c>
      <c r="C25" s="4" t="inlineStr">
        <is>
          <t>@reesebros</t>
        </is>
      </c>
      <c r="D25" s="4" t="inlineStr">
        <is>
          <t>TikTok + Instagram</t>
        </is>
      </c>
      <c r="E25" s="4" t="inlineStr">
        <is>
          <t>TikTok 1.6M · IG 2M (Kell 147K, Tom 117K)</t>
        </is>
      </c>
      <c r="F25" s="4" t="inlineStr">
        <is>
          <t>Gold Coast (not verified Burleigh)</t>
        </is>
      </c>
      <c r="G25" s="4" t="inlineStr">
        <is>
          <t>Aussie comedy skits</t>
        </is>
      </c>
      <c r="H25" s="4" t="inlineStr">
        <is>
          <t>TikTok 5M+ plays per hit</t>
        </is>
      </c>
      <c r="I25" s="4" t="inlineStr">
        <is>
          <t>management@reesebros.org</t>
        </is>
      </c>
      <c r="J25" s="4" t="inlineStr">
        <is>
          <t>Huge national reach from GC locals; for 2027 at earliest.</t>
        </is>
      </c>
      <c r="K25" s="4" t="inlineStr">
        <is>
          <t>Later (2027)</t>
        </is>
      </c>
      <c r="L25" s="4" t="inlineStr">
        <is>
          <t>E · Home &amp; outdoor</t>
        </is>
      </c>
      <c r="M25" s="4" t="inlineStr"/>
      <c r="N25" s="4" t="inlineStr">
        <is>
          <t>Ages not public. Comedy around drinking is an ABAC risk. National, not local.</t>
        </is>
      </c>
      <c r="O25" s="4" t="inlineStr">
        <is>
          <t>https://www.tiktok.com/@reesebros
https://www.instagram.com/reesebros/</t>
        </is>
      </c>
      <c r="P25" s="4" t="inlineStr"/>
    </row>
  </sheetData>
  <autoFilter ref="A4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2" customWidth="1" min="3" max="3"/>
    <col width="22" customWidth="1" min="4" max="4"/>
    <col width="40" customWidth="1" min="5" max="5"/>
    <col width="48" customWidth="1" min="6" max="6"/>
    <col width="32" customWidth="1" min="7" max="7"/>
    <col width="36" customWidth="1" min="8" max="8"/>
    <col width="40" customWidth="1" min="9" max="9"/>
  </cols>
  <sheetData>
    <row r="1">
      <c r="A1" s="1" t="inlineStr">
        <is>
          <t>Top 10 to approach first</t>
        </is>
      </c>
    </row>
    <row r="2">
      <c r="A2" s="2" t="inlineStr">
        <is>
          <t>Wave 1 outreach, week of 5 October 2026.</t>
        </is>
      </c>
    </row>
    <row r="4">
      <c r="A4" s="3" t="inlineStr">
        <is>
          <t>Rank</t>
        </is>
      </c>
      <c r="B4" s="3" t="inlineStr">
        <is>
          <t>Name</t>
        </is>
      </c>
      <c r="C4" s="3" t="inlineStr">
        <is>
          <t>Handle</t>
        </is>
      </c>
      <c r="D4" s="3" t="inlineStr">
        <is>
          <t>Followers</t>
        </is>
      </c>
      <c r="E4" s="3" t="inlineStr">
        <is>
          <t>Approach</t>
        </is>
      </c>
      <c r="F4" s="3" t="inlineStr">
        <is>
          <t>Why first</t>
        </is>
      </c>
      <c r="G4" s="3" t="inlineStr">
        <is>
          <t>Contact</t>
        </is>
      </c>
      <c r="H4" s="3" t="inlineStr">
        <is>
          <t>Socials</t>
        </is>
      </c>
      <c r="I4" s="3" t="inlineStr">
        <is>
          <t>Sample</t>
        </is>
      </c>
    </row>
    <row r="5">
      <c r="A5" s="4" t="n">
        <v>1</v>
      </c>
      <c r="B5" s="4" t="inlineStr">
        <is>
          <t>Inside Gold Coast</t>
        </is>
      </c>
      <c r="C5" s="4" t="inlineStr">
        <is>
          <t>@insidegoldcoast</t>
        </is>
      </c>
      <c r="D5" s="4" t="inlineStr">
        <is>
          <t>IG 68K · TikTok 8.0K · YouTube 1.4K</t>
        </is>
      </c>
      <c r="E5" s="4" t="inlineStr">
        <is>
          <t>Email the editor to be added to the brewery checklist; offer a hosted visit. Editorial first, no fee.</t>
        </is>
      </c>
      <c r="F5" s="4" t="inlineStr">
        <is>
          <t>Its Sept 2026 brewery checklist lists 20 breweries and leaves Tap That off. Editorial pitch first, no fee.</t>
        </is>
      </c>
      <c r="G5" s="4" t="inlineStr">
        <is>
          <t>(07) 5576 3044; contact form at insidegoldcoast.com.au/contact-us (editor@ email not re-confirmed)</t>
        </is>
      </c>
      <c r="H5" s="4" t="inlineStr">
        <is>
          <t>https://www.instagram.com/insidegoldcoast/
https://www.tiktok.com/@insidegoldcoast
https://insidegoldcoast.com.au</t>
        </is>
      </c>
      <c r="I5" s="4" t="inlineStr">
        <is>
          <t>https://www.tiktok.com/@insidegoldcoast/video/7688965213630090516</t>
        </is>
      </c>
    </row>
    <row r="6">
      <c r="A6" s="5" t="n">
        <v>2</v>
      </c>
      <c r="B6" s="5" t="inlineStr">
        <is>
          <t>What's On Goldy</t>
        </is>
      </c>
      <c r="C6" s="5" t="inlineStr">
        <is>
          <t>@whatsongoldy</t>
        </is>
      </c>
      <c r="D6" s="5" t="inlineStr">
        <is>
          <t>IG 67K (their advertise page says 63K) · TikTok 6.2K</t>
        </is>
      </c>
      <c r="E6" s="5" t="inlineStr">
        <is>
          <t>The one paid feature in the core budget: live music nights + creator night.</t>
        </is>
      </c>
      <c r="F6" s="5" t="inlineStr">
        <is>
          <t>The 'what to do this weekend' audience. Clean venue walk-throughs, no on-camera drinking.</t>
        </is>
      </c>
      <c r="G6" s="5" t="inlineStr">
        <is>
          <t>hello@whatsongoldy.com; media kit on request at whatsongoldy.com/advertise</t>
        </is>
      </c>
      <c r="H6" s="5" t="inlineStr">
        <is>
          <t>https://www.instagram.com/whatsongoldy/
https://www.tiktok.com/@whatsongoldy
https://whatsongoldy.com</t>
        </is>
      </c>
      <c r="I6" s="5" t="inlineStr">
        <is>
          <t>https://www.tiktok.com/@whatsongoldy/video/7630759243238345992</t>
        </is>
      </c>
    </row>
    <row r="7">
      <c r="A7" s="4" t="n">
        <v>3</v>
      </c>
      <c r="B7" s="4" t="inlineStr">
        <is>
          <t>Urban List Gold Coast</t>
        </is>
      </c>
      <c r="C7" s="4" t="inlineStr">
        <is>
          <t>@urbanlistgc</t>
        </is>
      </c>
      <c r="D7" s="4" t="inlineStr">
        <is>
          <t>IG 84K</t>
        </is>
      </c>
      <c r="E7" s="4" t="inlineStr">
        <is>
          <t>Pitch the editor to join the best breweries list, with a hosted visit. No fee.</t>
        </is>
      </c>
      <c r="F7" s="4" t="inlineStr">
        <is>
          <t>'16 of the Gold Coast's best breweries' leaves Tap That off. A free editorial pitch.</t>
        </is>
      </c>
      <c r="G7" s="4" t="inlineStr">
        <is>
          <t>partnerships@theurbanlist.com; GC editor Isabel Croker (not re-confirmed)</t>
        </is>
      </c>
      <c r="H7" s="4" t="inlineStr">
        <is>
          <t>https://www.instagram.com/urbanlistgc/
https://www.theurbanlist.com/goldcoast</t>
        </is>
      </c>
      <c r="I7" s="4" t="inlineStr">
        <is>
          <t>https://www.theurbanlist.com/goldcoast/a-list/best-breweries-on-the-gold-coast-and-nearby</t>
        </is>
      </c>
    </row>
    <row r="8">
      <c r="A8" s="5" t="n">
        <v>4</v>
      </c>
      <c r="B8" s="5" t="inlineStr">
        <is>
          <t>Must Do Gold Coast</t>
        </is>
      </c>
      <c r="C8" s="5" t="inlineStr">
        <is>
          <t>@mustdogoldcoast</t>
        </is>
      </c>
      <c r="D8" s="5" t="inlineStr">
        <is>
          <t>IG 38K (FB ~57K, unverified)</t>
        </is>
      </c>
      <c r="E8" s="5" t="inlineStr">
        <is>
          <t>Ask them to refresh Tap That's listing with live music and tours. Paid review only with the week-6 step-up.</t>
        </is>
      </c>
      <c r="F8" s="5" t="inlineStr">
        <is>
          <t>Its 'best breweries on the Gold Coast' feature already names Tap That: a warm contact. Reaches Facebook, where older keg buyers are.</t>
        </is>
      </c>
      <c r="G8" s="5" t="inlineStr">
        <is>
          <t>Valentina Trifunov 0418 516 548 (advertising); Michael Schwartz 0409 573 881 (reviews)</t>
        </is>
      </c>
      <c r="H8" s="5" t="inlineStr">
        <is>
          <t>https://www.instagram.com/mustdogoldcoast/
https://www.mustdogoldcoast.com</t>
        </is>
      </c>
      <c r="I8" s="5" t="inlineStr">
        <is>
          <t>https://www.mustdogoldcoast.com/features/best-breweries-on-gold-coast</t>
        </is>
      </c>
    </row>
    <row r="9">
      <c r="A9" s="4" t="n">
        <v>5</v>
      </c>
      <c r="B9" s="4" t="inlineStr">
        <is>
          <t>Good Food Gold Coast (Marj Osborne)</t>
        </is>
      </c>
      <c r="C9" s="4" t="inlineStr">
        <is>
          <t>@foodgoldcoast</t>
        </is>
      </c>
      <c r="D9" s="4" t="inlineStr">
        <is>
          <t>IG 12.1K (3,652 posts)</t>
        </is>
      </c>
      <c r="E9" s="4" t="inlineStr">
        <is>
          <t>Hosted visit with Chris, for an Instagram post and a web article.</t>
        </is>
      </c>
      <c r="F9" s="4" t="inlineStr">
        <is>
          <t>Credible local voice with a verified adult audience; a web article also helps search.</t>
        </is>
      </c>
      <c r="G9" s="4" t="inlineStr">
        <is>
          <t>admin@foodgoldcoast.com.au; marj.oz@live.com.au</t>
        </is>
      </c>
      <c r="H9" s="4" t="inlineStr">
        <is>
          <t>https://www.instagram.com/foodgoldcoast/
https://foodgoldcoast.com.au</t>
        </is>
      </c>
      <c r="I9" s="4" t="inlineStr">
        <is>
          <t>https://foodgoldcoast.com.au/among-the-vines-in-the-margaret-river/</t>
        </is>
      </c>
    </row>
    <row r="10">
      <c r="A10" s="5" t="n">
        <v>6</v>
      </c>
      <c r="B10" s="5" t="inlineStr">
        <is>
          <t>The Weekend Edition Gold Coast</t>
        </is>
      </c>
      <c r="C10" s="5" t="inlineStr">
        <is>
          <t>@theweekendeditiongoldcoast</t>
        </is>
      </c>
      <c r="D10" s="5" t="inlineStr">
        <is>
          <t>IG 33K · newsletter 13K subscribers (Solstice Media, Jan 2026)</t>
        </is>
      </c>
      <c r="E10" s="5" t="inlineStr">
        <is>
          <t>Free event listings for live music, then a hosted visit for the editor.</t>
        </is>
      </c>
      <c r="F10" s="5" t="inlineStr">
        <is>
          <t>Weekend planners; covered a Burleigh brewery event (22 Sep 2026). Free listings.</t>
        </is>
      </c>
      <c r="G10" s="5" t="inlineStr">
        <is>
          <t>Contact form; Solstice Media commercial team</t>
        </is>
      </c>
      <c r="H10" s="5" t="inlineStr">
        <is>
          <t>https://www.instagram.com/theweekendeditiongoldcoast/
https://www.indailyqld.com.au/theweekendedition-goldcoast</t>
        </is>
      </c>
      <c r="I10" s="5" t="inlineStr">
        <is>
          <t>https://www.indailyqld.com.au/theweekendedition-goldcoast/food-drink/2026/09/22/frothtoberfest-burleigh-brewing</t>
        </is>
      </c>
    </row>
    <row r="11">
      <c r="A11" s="4" t="n">
        <v>7</v>
      </c>
      <c r="B11" s="4" t="inlineStr">
        <is>
          <t>Lucy Klodinsky</t>
        </is>
      </c>
      <c r="C11" s="4" t="inlineStr">
        <is>
          <t>@badgalfoody</t>
        </is>
      </c>
      <c r="D11" s="4" t="inlineStr">
        <is>
          <t>IG 13.7K · TikTok 9.3K</t>
        </is>
      </c>
      <c r="E11" s="4" t="inlineStr">
        <is>
          <t>Hosted visit (pizza + paddle) for an Instagram Reel.</t>
        </is>
      </c>
      <c r="F11" s="4" t="inlineStr">
        <is>
          <t>Active daily GC reviewer with an Instagram following; food-first format.</t>
        </is>
      </c>
      <c r="G11" s="4" t="inlineStr">
        <is>
          <t>hello@badgalfoody.com</t>
        </is>
      </c>
      <c r="H11" s="4" t="inlineStr">
        <is>
          <t>https://www.instagram.com/badgalfoody/
https://www.tiktok.com/@badgalfoody</t>
        </is>
      </c>
      <c r="I11" s="4" t="inlineStr">
        <is>
          <t>https://www.tiktok.com/@badgalfoody/video/7481623169124551944</t>
        </is>
      </c>
    </row>
    <row r="12">
      <c r="A12" s="5" t="n">
        <v>8</v>
      </c>
      <c r="B12" s="5" t="inlineStr">
        <is>
          <t>Jon Wyeth</t>
        </is>
      </c>
      <c r="C12" s="5" t="inlineStr">
        <is>
          <t>@jon.wyeth</t>
        </is>
      </c>
      <c r="D12" s="5" t="inlineStr">
        <is>
          <t>IG 95K · TikTok 131.5K · YouTube 7.3K</t>
        </is>
      </c>
      <c r="E12" s="5" t="inlineStr">
        <is>
          <t>Paid backyard keg system piece, week-6 step-up only.</t>
        </is>
      </c>
      <c r="F12" s="5" t="inlineStr">
        <is>
          <t>Cleanest brewery format on the list: voiceover 'hidden gem', little on-camera drinking. Male-leaning SEQ audience for the home keg piece.</t>
        </is>
      </c>
      <c r="G12" s="5" t="inlineStr">
        <is>
          <t>talent@neuralle.com (Neuralle management)</t>
        </is>
      </c>
      <c r="H12" s="5" t="inlineStr">
        <is>
          <t>https://www.instagram.com/jon.wyeth/
https://www.tiktok.com/@jon.wyeth</t>
        </is>
      </c>
      <c r="I12" s="5" t="inlineStr">
        <is>
          <t>https://www.tiktok.com/@jon.wyeth/video/7683823372815404309</t>
        </is>
      </c>
    </row>
    <row r="13">
      <c r="A13" s="4" t="n">
        <v>9</v>
      </c>
      <c r="B13" s="4" t="inlineStr">
        <is>
          <t>Ethan Cox</t>
        </is>
      </c>
      <c r="C13" s="4" t="inlineStr">
        <is>
          <t>@ethan.cox01</t>
        </is>
      </c>
      <c r="D13" s="4" t="inlineStr">
        <is>
          <t>TikTok 10.8K (322K likes). No Instagram confirmed</t>
        </is>
      </c>
      <c r="E13" s="4" t="inlineStr">
        <is>
          <t>Hosted visit + creator night, tight brief: paddle and food, no strength talk. Instagram first.</t>
        </is>
      </c>
      <c r="F13" s="4" t="inlineStr">
        <is>
          <t>Strongest proven brewery review format and best reach per follower on the list.</t>
        </is>
      </c>
      <c r="G13" s="4" t="inlineStr">
        <is>
          <t>ethancoxcontent@outlook.com</t>
        </is>
      </c>
      <c r="H13" s="4" t="inlineStr">
        <is>
          <t>https://www.tiktok.com/@ethan.cox01</t>
        </is>
      </c>
      <c r="I13" s="4" t="inlineStr">
        <is>
          <t>https://www.tiktok.com/@ethan.cox01/video/7671888783968718101</t>
        </is>
      </c>
    </row>
    <row r="14">
      <c r="A14" s="5" t="n">
        <v>10</v>
      </c>
      <c r="B14" s="5" t="inlineStr">
        <is>
          <t>Lauren</t>
        </is>
      </c>
      <c r="C14" s="5" t="inlineStr">
        <is>
          <t>@laurenguides</t>
        </is>
      </c>
      <c r="D14" s="5" t="inlineStr">
        <is>
          <t>IG 3.1K · TikTok 9.7K</t>
        </is>
      </c>
      <c r="E14" s="5" t="inlineStr">
        <is>
          <t>Hosted visit on a trivia or live-music night, for an Instagram Reel. Ask about TikTok.</t>
        </is>
      </c>
      <c r="F14" s="5" t="inlineStr">
        <is>
          <t>Has filmed a Burleigh taproom trivia night; covers Burleigh bars.</t>
        </is>
      </c>
      <c r="G14" s="5" t="inlineStr">
        <is>
          <t>laurenguides@outlook.com</t>
        </is>
      </c>
      <c r="H14" s="5" t="inlineStr">
        <is>
          <t>https://www.instagram.com/laurenguides/
https://www.tiktok.com/@laurenguides</t>
        </is>
      </c>
      <c r="I14" s="5" t="inlineStr">
        <is>
          <t>https://www.tiktok.com/@laurenguides/video/7559112461400526088</t>
        </is>
      </c>
    </row>
  </sheetData>
  <autoFilter ref="A4:I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20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30" customWidth="1" min="11" max="11"/>
    <col width="12" customWidth="1" min="12" max="12"/>
    <col width="14" customWidth="1" min="13" max="13"/>
    <col width="12" customWidth="1" min="14" max="14"/>
    <col width="14" customWidth="1" min="15" max="15"/>
    <col width="28" customWidth="1" min="16" max="16"/>
    <col width="30" customWidth="1" min="17" max="17"/>
  </cols>
  <sheetData>
    <row r="1">
      <c r="A1" s="1" t="inlineStr">
        <is>
          <t>Outreach &amp; deal tracker</t>
        </is>
      </c>
    </row>
    <row r="2">
      <c r="A2" s="2" t="inlineStr">
        <is>
          <t>One row per creator. Nothing is booked until pre-checks say Yes. Deliverables are Instagram only.</t>
        </is>
      </c>
    </row>
    <row r="4">
      <c r="A4" s="3" t="inlineStr">
        <is>
          <t>#</t>
        </is>
      </c>
      <c r="B4" s="3" t="inlineStr">
        <is>
          <t>Handle</t>
        </is>
      </c>
      <c r="C4" s="3" t="inlineStr">
        <is>
          <t>Tier</t>
        </is>
      </c>
      <c r="D4" s="3" t="inlineStr">
        <is>
          <t>Owner</t>
        </is>
      </c>
      <c r="E4" s="3" t="inlineStr">
        <is>
          <t>Pre-checks done (age 25+, 80% adult, 6-mo lookback)</t>
        </is>
      </c>
      <c r="F4" s="3" t="inlineStr">
        <is>
          <t>Date contacted</t>
        </is>
      </c>
      <c r="G4" s="3" t="inlineStr">
        <is>
          <t>Channel (DM/email)</t>
        </is>
      </c>
      <c r="H4" s="3" t="inlineStr">
        <is>
          <t>Follow-up date</t>
        </is>
      </c>
      <c r="I4" s="3" t="inlineStr">
        <is>
          <t>Status</t>
        </is>
      </c>
      <c r="J4" s="3" t="inlineStr">
        <is>
          <t>Deal type</t>
        </is>
      </c>
      <c r="K4" s="3" t="inlineStr">
        <is>
          <t>Agreed deliverables</t>
        </is>
      </c>
      <c r="L4" s="3" t="inlineStr">
        <is>
          <t>Fee / value ($)</t>
        </is>
      </c>
      <c r="M4" s="3" t="inlineStr">
        <is>
          <t>Visit / event date</t>
        </is>
      </c>
      <c r="N4" s="3" t="inlineStr">
        <is>
          <t>Agreement signed</t>
        </is>
      </c>
      <c r="O4" s="3" t="inlineStr">
        <is>
          <t>Creator code</t>
        </is>
      </c>
      <c r="P4" s="3" t="inlineStr">
        <is>
          <t>TikTok answer (on TikTok One? alcohol collabs before?)</t>
        </is>
      </c>
      <c r="Q4" s="3" t="inlineStr">
        <is>
          <t>Notes</t>
        </is>
      </c>
    </row>
    <row r="5">
      <c r="A5" s="4" t="n">
        <v>1</v>
      </c>
      <c r="B5" s="4" t="inlineStr">
        <is>
          <t>@insidegoldcoast</t>
        </is>
      </c>
      <c r="C5" s="4" t="inlineStr">
        <is>
          <t>C · What's on / media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Not contacted</t>
        </is>
      </c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>
      <c r="A6" s="5" t="n">
        <v>2</v>
      </c>
      <c r="B6" s="5" t="inlineStr">
        <is>
          <t>@whatsongoldy</t>
        </is>
      </c>
      <c r="C6" s="5" t="inlineStr">
        <is>
          <t>C · What's on / media</t>
        </is>
      </c>
      <c r="D6" s="5" t="inlineStr"/>
      <c r="E6" s="5" t="inlineStr"/>
      <c r="F6" s="5" t="inlineStr"/>
      <c r="G6" s="5" t="inlineStr"/>
      <c r="H6" s="5" t="inlineStr"/>
      <c r="I6" s="5" t="inlineStr">
        <is>
          <t>Not contacted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>
      <c r="A7" s="4" t="n">
        <v>3</v>
      </c>
      <c r="B7" s="4" t="inlineStr">
        <is>
          <t>@urbanlistgc</t>
        </is>
      </c>
      <c r="C7" s="4" t="inlineStr">
        <is>
          <t>C · What's on / media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Not contacted</t>
        </is>
      </c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</row>
    <row r="8">
      <c r="A8" s="5" t="n">
        <v>4</v>
      </c>
      <c r="B8" s="5" t="inlineStr">
        <is>
          <t>@mustdogoldcoast</t>
        </is>
      </c>
      <c r="C8" s="5" t="inlineStr">
        <is>
          <t>C · What's on / media</t>
        </is>
      </c>
      <c r="D8" s="5" t="inlineStr"/>
      <c r="E8" s="5" t="inlineStr"/>
      <c r="F8" s="5" t="inlineStr"/>
      <c r="G8" s="5" t="inlineStr"/>
      <c r="H8" s="5" t="inlineStr"/>
      <c r="I8" s="5" t="inlineStr">
        <is>
          <t>Not contacted</t>
        </is>
      </c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</row>
    <row r="9">
      <c r="A9" s="4" t="n">
        <v>5</v>
      </c>
      <c r="B9" s="4" t="inlineStr">
        <is>
          <t>@foodgoldcoast</t>
        </is>
      </c>
      <c r="C9" s="4" t="inlineStr">
        <is>
          <t>A · Food &amp; drink</t>
        </is>
      </c>
      <c r="D9" s="4" t="inlineStr"/>
      <c r="E9" s="4" t="inlineStr"/>
      <c r="F9" s="4" t="inlineStr"/>
      <c r="G9" s="4" t="inlineStr"/>
      <c r="H9" s="4" t="inlineStr"/>
      <c r="I9" s="4" t="inlineStr">
        <is>
          <t>Not contacted</t>
        </is>
      </c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s="5" t="n">
        <v>6</v>
      </c>
      <c r="B10" s="5" t="inlineStr">
        <is>
          <t>@theweekendeditiongoldcoast</t>
        </is>
      </c>
      <c r="C10" s="5" t="inlineStr">
        <is>
          <t>C · What's on / media</t>
        </is>
      </c>
      <c r="D10" s="5" t="inlineStr"/>
      <c r="E10" s="5" t="inlineStr"/>
      <c r="F10" s="5" t="inlineStr"/>
      <c r="G10" s="5" t="inlineStr"/>
      <c r="H10" s="5" t="inlineStr"/>
      <c r="I10" s="5" t="inlineStr">
        <is>
          <t>Not contacted</t>
        </is>
      </c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</row>
    <row r="11">
      <c r="A11" s="4" t="n">
        <v>7</v>
      </c>
      <c r="B11" s="4" t="inlineStr">
        <is>
          <t>@badgalfoody</t>
        </is>
      </c>
      <c r="C11" s="4" t="inlineStr">
        <is>
          <t>A · Food &amp; drink</t>
        </is>
      </c>
      <c r="D11" s="4" t="inlineStr"/>
      <c r="E11" s="4" t="inlineStr"/>
      <c r="F11" s="4" t="inlineStr"/>
      <c r="G11" s="4" t="inlineStr"/>
      <c r="H11" s="4" t="inlineStr"/>
      <c r="I11" s="4" t="inlineStr">
        <is>
          <t>Not contacted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</row>
    <row r="12">
      <c r="A12" s="5" t="n">
        <v>8</v>
      </c>
      <c r="B12" s="5" t="inlineStr">
        <is>
          <t>@jon.wyeth</t>
        </is>
      </c>
      <c r="C12" s="5" t="inlineStr">
        <is>
          <t>E · Home &amp; outdoor</t>
        </is>
      </c>
      <c r="D12" s="5" t="inlineStr"/>
      <c r="E12" s="5" t="inlineStr"/>
      <c r="F12" s="5" t="inlineStr"/>
      <c r="G12" s="5" t="inlineStr"/>
      <c r="H12" s="5" t="inlineStr"/>
      <c r="I12" s="5" t="inlineStr">
        <is>
          <t>Not contacted</t>
        </is>
      </c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</row>
    <row r="13">
      <c r="A13" s="4" t="n">
        <v>9</v>
      </c>
      <c r="B13" s="4" t="inlineStr">
        <is>
          <t>@ethan.cox01</t>
        </is>
      </c>
      <c r="C13" s="4" t="inlineStr">
        <is>
          <t>A · Food &amp; drink</t>
        </is>
      </c>
      <c r="D13" s="4" t="inlineStr"/>
      <c r="E13" s="4" t="inlineStr"/>
      <c r="F13" s="4" t="inlineStr"/>
      <c r="G13" s="4" t="inlineStr"/>
      <c r="H13" s="4" t="inlineStr"/>
      <c r="I13" s="4" t="inlineStr">
        <is>
          <t>Not contacted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</row>
    <row r="14">
      <c r="A14" s="5" t="n">
        <v>10</v>
      </c>
      <c r="B14" s="5" t="inlineStr">
        <is>
          <t>@laurenguides</t>
        </is>
      </c>
      <c r="C14" s="5" t="inlineStr">
        <is>
          <t>A · Food &amp; drink</t>
        </is>
      </c>
      <c r="D14" s="5" t="inlineStr"/>
      <c r="E14" s="5" t="inlineStr"/>
      <c r="F14" s="5" t="inlineStr"/>
      <c r="G14" s="5" t="inlineStr"/>
      <c r="H14" s="5" t="inlineStr"/>
      <c r="I14" s="5" t="inlineStr">
        <is>
          <t>Not contacted</t>
        </is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</row>
    <row r="15">
      <c r="A15" s="4" t="n">
        <v>11</v>
      </c>
      <c r="B15" s="4" t="inlineStr">
        <is>
          <t>@gc_eats</t>
        </is>
      </c>
      <c r="C15" s="4" t="inlineStr">
        <is>
          <t>A · Food &amp; drink</t>
        </is>
      </c>
      <c r="D15" s="4" t="inlineStr"/>
      <c r="E15" s="4" t="inlineStr"/>
      <c r="F15" s="4" t="inlineStr"/>
      <c r="G15" s="4" t="inlineStr"/>
      <c r="H15" s="4" t="inlineStr"/>
      <c r="I15" s="4" t="inlineStr">
        <is>
          <t>Not contacted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</row>
    <row r="16">
      <c r="A16" s="5" t="n">
        <v>12</v>
      </c>
      <c r="B16" s="5" t="inlineStr">
        <is>
          <t>@goldcoastfoodie</t>
        </is>
      </c>
      <c r="C16" s="5" t="inlineStr">
        <is>
          <t>A · Food &amp; drink</t>
        </is>
      </c>
      <c r="D16" s="5" t="inlineStr"/>
      <c r="E16" s="5" t="inlineStr"/>
      <c r="F16" s="5" t="inlineStr"/>
      <c r="G16" s="5" t="inlineStr"/>
      <c r="H16" s="5" t="inlineStr"/>
      <c r="I16" s="5" t="inlineStr">
        <is>
          <t>Not contacted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</row>
    <row r="17">
      <c r="A17" s="4" t="n">
        <v>13</v>
      </c>
      <c r="B17" s="4" t="inlineStr">
        <is>
          <t>@goldcoasteats</t>
        </is>
      </c>
      <c r="C17" s="4" t="inlineStr">
        <is>
          <t>A · Food &amp; drink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Not contacted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</row>
    <row r="18">
      <c r="A18" s="5" t="n">
        <v>14</v>
      </c>
      <c r="B18" s="5" t="inlineStr">
        <is>
          <t>@thefoodhedonist</t>
        </is>
      </c>
      <c r="C18" s="5" t="inlineStr">
        <is>
          <t>A · Food &amp; drink</t>
        </is>
      </c>
      <c r="D18" s="5" t="inlineStr"/>
      <c r="E18" s="5" t="inlineStr"/>
      <c r="F18" s="5" t="inlineStr"/>
      <c r="G18" s="5" t="inlineStr"/>
      <c r="H18" s="5" t="inlineStr"/>
      <c r="I18" s="5" t="inlineStr">
        <is>
          <t>Not contacted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</row>
    <row r="19">
      <c r="A19" s="4" t="n">
        <v>15</v>
      </c>
      <c r="B19" s="4" t="inlineStr">
        <is>
          <t>@foodfantasia_</t>
        </is>
      </c>
      <c r="C19" s="4" t="inlineStr">
        <is>
          <t>A · Food &amp; drink</t>
        </is>
      </c>
      <c r="D19" s="4" t="inlineStr"/>
      <c r="E19" s="4" t="inlineStr"/>
      <c r="F19" s="4" t="inlineStr"/>
      <c r="G19" s="4" t="inlineStr"/>
      <c r="H19" s="4" t="inlineStr"/>
      <c r="I19" s="4" t="inlineStr">
        <is>
          <t>Not contacted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</row>
    <row r="20">
      <c r="A20" s="5" t="n">
        <v>16</v>
      </c>
      <c r="B20" s="5" t="inlineStr">
        <is>
          <t>@tweedcoastguide</t>
        </is>
      </c>
      <c r="C20" s="5" t="inlineStr">
        <is>
          <t>D · Northern NSW</t>
        </is>
      </c>
      <c r="D20" s="5" t="inlineStr"/>
      <c r="E20" s="5" t="inlineStr"/>
      <c r="F20" s="5" t="inlineStr"/>
      <c r="G20" s="5" t="inlineStr"/>
      <c r="H20" s="5" t="inlineStr"/>
      <c r="I20" s="5" t="inlineStr">
        <is>
          <t>Not contacted</t>
        </is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</row>
    <row r="21">
      <c r="A21" s="4" t="n">
        <v>17</v>
      </c>
      <c r="B21" s="4" t="inlineStr">
        <is>
          <t>@byron.bay.eats</t>
        </is>
      </c>
      <c r="C21" s="4" t="inlineStr">
        <is>
          <t>D · Northern NSW</t>
        </is>
      </c>
      <c r="D21" s="4" t="inlineStr"/>
      <c r="E21" s="4" t="inlineStr"/>
      <c r="F21" s="4" t="inlineStr"/>
      <c r="G21" s="4" t="inlineStr"/>
      <c r="H21" s="4" t="inlineStr"/>
      <c r="I21" s="4" t="inlineStr">
        <is>
          <t>Not contacted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>
      <c r="A22" s="5" t="n">
        <v>18</v>
      </c>
      <c r="B22" s="5" t="inlineStr">
        <is>
          <t>@northernriversconnect</t>
        </is>
      </c>
      <c r="C22" s="5" t="inlineStr">
        <is>
          <t>D · Northern NSW</t>
        </is>
      </c>
      <c r="D22" s="5" t="inlineStr"/>
      <c r="E22" s="5" t="inlineStr"/>
      <c r="F22" s="5" t="inlineStr"/>
      <c r="G22" s="5" t="inlineStr"/>
      <c r="H22" s="5" t="inlineStr"/>
      <c r="I22" s="5" t="inlineStr">
        <is>
          <t>Not contacted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</row>
    <row r="23">
      <c r="A23" s="4" t="n">
        <v>19</v>
      </c>
      <c r="B23" s="4" t="inlineStr">
        <is>
          <t>@magdalena_roze</t>
        </is>
      </c>
      <c r="C23" s="4" t="inlineStr">
        <is>
          <t>D · Northern NSW</t>
        </is>
      </c>
      <c r="D23" s="4" t="inlineStr"/>
      <c r="E23" s="4" t="inlineStr"/>
      <c r="F23" s="4" t="inlineStr"/>
      <c r="G23" s="4" t="inlineStr"/>
      <c r="H23" s="4" t="inlineStr"/>
      <c r="I23" s="4" t="inlineStr">
        <is>
          <t>Not contacted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</row>
    <row r="24">
      <c r="A24" s="5" t="n">
        <v>20</v>
      </c>
      <c r="B24" s="5" t="inlineStr">
        <is>
          <t>@thecampovencook</t>
        </is>
      </c>
      <c r="C24" s="5" t="inlineStr">
        <is>
          <t>E · Home &amp; outdoor</t>
        </is>
      </c>
      <c r="D24" s="5" t="inlineStr"/>
      <c r="E24" s="5" t="inlineStr"/>
      <c r="F24" s="5" t="inlineStr"/>
      <c r="G24" s="5" t="inlineStr"/>
      <c r="H24" s="5" t="inlineStr"/>
      <c r="I24" s="5" t="inlineStr">
        <is>
          <t>Not contacted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</row>
    <row r="25">
      <c r="A25" s="4" t="n">
        <v>21</v>
      </c>
      <c r="B25" s="4" t="inlineStr">
        <is>
          <t>@reesebros</t>
        </is>
      </c>
      <c r="C25" s="4" t="inlineStr">
        <is>
          <t>E · Home &amp; outdoor</t>
        </is>
      </c>
      <c r="D25" s="4" t="inlineStr"/>
      <c r="E25" s="4" t="inlineStr"/>
      <c r="F25" s="4" t="inlineStr"/>
      <c r="G25" s="4" t="inlineStr"/>
      <c r="H25" s="4" t="inlineStr"/>
      <c r="I25" s="4" t="inlineStr">
        <is>
          <t>Not contacted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</row>
  </sheetData>
  <autoFilter ref="A4:Q25"/>
  <dataValidations count="4">
    <dataValidation sqref="E5:E25" showDropDown="0" showInputMessage="0" showErrorMessage="0" allowBlank="1" type="list">
      <formula1>"Yes,No,Partly"</formula1>
    </dataValidation>
    <dataValidation sqref="I5:I25" showDropDown="0" showInputMessage="0" showErrorMessage="0" allowBlank="1" type="list">
      <formula1>"Not contacted,Contacted,Followed up,Replied,Negotiating,Booked,Visited,Content live,Declined,No reply"</formula1>
    </dataValidation>
    <dataValidation sqref="J5:J25" showDropDown="0" showInputMessage="0" showErrorMessage="0" allowBlank="1" type="list">
      <formula1>"Gifted visit,Paid,Creator night,Editorial,Listing,Content creation"</formula1>
    </dataValidation>
    <dataValidation sqref="N5:N2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2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8" customWidth="1" min="11" max="11"/>
    <col width="9" customWidth="1" min="12" max="12"/>
    <col width="8" customWidth="1" min="13" max="13"/>
    <col width="8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9" customWidth="1" min="20" max="20"/>
    <col width="11" customWidth="1" min="21" max="21"/>
    <col width="14" customWidth="1" min="22" max="22"/>
    <col width="14" customWidth="1" min="23" max="23"/>
  </cols>
  <sheetData>
    <row r="1">
      <c r="A1" s="1" t="inlineStr">
        <is>
          <t>Content &amp; results log</t>
        </is>
      </c>
    </row>
    <row r="2">
      <c r="A2" s="2" t="inlineStr">
        <is>
          <t>Log every post within 48 hours; add results from the day-7 screenshot. Engagement per view = (likes+comments+shares+saves) ÷ views.</t>
        </is>
      </c>
    </row>
    <row r="4">
      <c r="A4" s="3" t="inlineStr">
        <is>
          <t>Date live</t>
        </is>
      </c>
      <c r="B4" s="3" t="inlineStr">
        <is>
          <t>Handle</t>
        </is>
      </c>
      <c r="C4" s="3" t="inlineStr">
        <is>
          <t>Format (Reel / Story)</t>
        </is>
      </c>
      <c r="D4" s="3" t="inlineStr">
        <is>
          <t>Link</t>
        </is>
      </c>
      <c r="E4" s="3" t="inlineStr">
        <is>
          <t>Collab post with Tap That (Y/N)</t>
        </is>
      </c>
      <c r="F4" s="3" t="inlineStr">
        <is>
          <t>Paid partnership label + #ad (Y/N)</t>
        </is>
      </c>
      <c r="G4" s="3" t="inlineStr">
        <is>
          <t>Age-restricted 18+ (Y/N)</t>
        </is>
      </c>
      <c r="H4" s="3" t="inlineStr">
        <is>
          <t>Approved before posting (Y/N)</t>
        </is>
      </c>
      <c r="I4" s="3" t="inlineStr">
        <is>
          <t>Day-7 screenshot received (Y/N)</t>
        </is>
      </c>
      <c r="J4" s="3" t="inlineStr">
        <is>
          <t>Views</t>
        </is>
      </c>
      <c r="K4" s="3" t="inlineStr">
        <is>
          <t>Likes</t>
        </is>
      </c>
      <c r="L4" s="3" t="inlineStr">
        <is>
          <t>Comments</t>
        </is>
      </c>
      <c r="M4" s="3" t="inlineStr">
        <is>
          <t>Shares</t>
        </is>
      </c>
      <c r="N4" s="3" t="inlineStr">
        <is>
          <t>Saves</t>
        </is>
      </c>
      <c r="O4" s="3" t="inlineStr">
        <is>
          <t>Engagement per view</t>
        </is>
      </c>
      <c r="P4" s="3" t="inlineStr">
        <is>
          <t>New follows to Tap That</t>
        </is>
      </c>
      <c r="Q4" s="3" t="inlineStr">
        <is>
          <t>Code mentions at bar</t>
        </is>
      </c>
      <c r="R4" s="3" t="inlineStr">
        <is>
          <t>Keg system enquiries</t>
        </is>
      </c>
      <c r="S4" s="3" t="inlineStr">
        <is>
          <t>Keg systems sold (6 months)</t>
        </is>
      </c>
      <c r="T4" s="3" t="inlineStr">
        <is>
          <t>Cost ($)</t>
        </is>
      </c>
      <c r="U4" s="3" t="inlineStr">
        <is>
          <t>Cost per 1K views</t>
        </is>
      </c>
      <c r="V4" s="3" t="inlineStr">
        <is>
          <t>Usage rights (to)</t>
        </is>
      </c>
      <c r="W4" s="3" t="inlineStr">
        <is>
          <t>Verdict (keep / drop)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>
        <f>IF(J5&gt;0,(K5+L5+M5+N5)/J5,"")</f>
        <v/>
      </c>
      <c r="P5" s="6" t="n"/>
      <c r="Q5" s="6" t="n"/>
      <c r="R5" s="6" t="n"/>
      <c r="S5" s="6" t="n"/>
      <c r="T5" s="6" t="n"/>
      <c r="U5" s="8">
        <f>IF(AND(J5&gt;0,T5&gt;0),T5/J5*1000,"")</f>
        <v/>
      </c>
      <c r="V5" s="6" t="n"/>
      <c r="W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>
        <f>IF(J6&gt;0,(K6+L6+M6+N6)/J6,"")</f>
        <v/>
      </c>
      <c r="P6" s="6" t="n"/>
      <c r="Q6" s="6" t="n"/>
      <c r="R6" s="6" t="n"/>
      <c r="S6" s="6" t="n"/>
      <c r="T6" s="6" t="n"/>
      <c r="U6" s="8">
        <f>IF(AND(J6&gt;0,T6&gt;0),T6/J6*1000,"")</f>
        <v/>
      </c>
      <c r="V6" s="6" t="n"/>
      <c r="W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7">
        <f>IF(J7&gt;0,(K7+L7+M7+N7)/J7,"")</f>
        <v/>
      </c>
      <c r="P7" s="6" t="n"/>
      <c r="Q7" s="6" t="n"/>
      <c r="R7" s="6" t="n"/>
      <c r="S7" s="6" t="n"/>
      <c r="T7" s="6" t="n"/>
      <c r="U7" s="8">
        <f>IF(AND(J7&gt;0,T7&gt;0),T7/J7*1000,"")</f>
        <v/>
      </c>
      <c r="V7" s="6" t="n"/>
      <c r="W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7">
        <f>IF(J8&gt;0,(K8+L8+M8+N8)/J8,"")</f>
        <v/>
      </c>
      <c r="P8" s="6" t="n"/>
      <c r="Q8" s="6" t="n"/>
      <c r="R8" s="6" t="n"/>
      <c r="S8" s="6" t="n"/>
      <c r="T8" s="6" t="n"/>
      <c r="U8" s="8">
        <f>IF(AND(J8&gt;0,T8&gt;0),T8/J8*1000,"")</f>
        <v/>
      </c>
      <c r="V8" s="6" t="n"/>
      <c r="W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>
        <f>IF(J9&gt;0,(K9+L9+M9+N9)/J9,"")</f>
        <v/>
      </c>
      <c r="P9" s="6" t="n"/>
      <c r="Q9" s="6" t="n"/>
      <c r="R9" s="6" t="n"/>
      <c r="S9" s="6" t="n"/>
      <c r="T9" s="6" t="n"/>
      <c r="U9" s="8">
        <f>IF(AND(J9&gt;0,T9&gt;0),T9/J9*1000,"")</f>
        <v/>
      </c>
      <c r="V9" s="6" t="n"/>
      <c r="W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>
        <f>IF(J10&gt;0,(K10+L10+M10+N10)/J10,"")</f>
        <v/>
      </c>
      <c r="P10" s="6" t="n"/>
      <c r="Q10" s="6" t="n"/>
      <c r="R10" s="6" t="n"/>
      <c r="S10" s="6" t="n"/>
      <c r="T10" s="6" t="n"/>
      <c r="U10" s="8">
        <f>IF(AND(J10&gt;0,T10&gt;0),T10/J10*1000,"")</f>
        <v/>
      </c>
      <c r="V10" s="6" t="n"/>
      <c r="W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>
        <f>IF(J11&gt;0,(K11+L11+M11+N11)/J11,"")</f>
        <v/>
      </c>
      <c r="P11" s="6" t="n"/>
      <c r="Q11" s="6" t="n"/>
      <c r="R11" s="6" t="n"/>
      <c r="S11" s="6" t="n"/>
      <c r="T11" s="6" t="n"/>
      <c r="U11" s="8">
        <f>IF(AND(J11&gt;0,T11&gt;0),T11/J11*1000,"")</f>
        <v/>
      </c>
      <c r="V11" s="6" t="n"/>
      <c r="W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>
        <f>IF(J12&gt;0,(K12+L12+M12+N12)/J12,"")</f>
        <v/>
      </c>
      <c r="P12" s="6" t="n"/>
      <c r="Q12" s="6" t="n"/>
      <c r="R12" s="6" t="n"/>
      <c r="S12" s="6" t="n"/>
      <c r="T12" s="6" t="n"/>
      <c r="U12" s="8">
        <f>IF(AND(J12&gt;0,T12&gt;0),T12/J12*1000,"")</f>
        <v/>
      </c>
      <c r="V12" s="6" t="n"/>
      <c r="W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7">
        <f>IF(J13&gt;0,(K13+L13+M13+N13)/J13,"")</f>
        <v/>
      </c>
      <c r="P13" s="6" t="n"/>
      <c r="Q13" s="6" t="n"/>
      <c r="R13" s="6" t="n"/>
      <c r="S13" s="6" t="n"/>
      <c r="T13" s="6" t="n"/>
      <c r="U13" s="8">
        <f>IF(AND(J13&gt;0,T13&gt;0),T13/J13*1000,"")</f>
        <v/>
      </c>
      <c r="V13" s="6" t="n"/>
      <c r="W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7">
        <f>IF(J14&gt;0,(K14+L14+M14+N14)/J14,"")</f>
        <v/>
      </c>
      <c r="P14" s="6" t="n"/>
      <c r="Q14" s="6" t="n"/>
      <c r="R14" s="6" t="n"/>
      <c r="S14" s="6" t="n"/>
      <c r="T14" s="6" t="n"/>
      <c r="U14" s="8">
        <f>IF(AND(J14&gt;0,T14&gt;0),T14/J14*1000,"")</f>
        <v/>
      </c>
      <c r="V14" s="6" t="n"/>
      <c r="W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>
        <f>IF(J15&gt;0,(K15+L15+M15+N15)/J15,"")</f>
        <v/>
      </c>
      <c r="P15" s="6" t="n"/>
      <c r="Q15" s="6" t="n"/>
      <c r="R15" s="6" t="n"/>
      <c r="S15" s="6" t="n"/>
      <c r="T15" s="6" t="n"/>
      <c r="U15" s="8">
        <f>IF(AND(J15&gt;0,T15&gt;0),T15/J15*1000,"")</f>
        <v/>
      </c>
      <c r="V15" s="6" t="n"/>
      <c r="W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7">
        <f>IF(J16&gt;0,(K16+L16+M16+N16)/J16,"")</f>
        <v/>
      </c>
      <c r="P16" s="6" t="n"/>
      <c r="Q16" s="6" t="n"/>
      <c r="R16" s="6" t="n"/>
      <c r="S16" s="6" t="n"/>
      <c r="T16" s="6" t="n"/>
      <c r="U16" s="8">
        <f>IF(AND(J16&gt;0,T16&gt;0),T16/J16*1000,"")</f>
        <v/>
      </c>
      <c r="V16" s="6" t="n"/>
      <c r="W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>
        <f>IF(J17&gt;0,(K17+L17+M17+N17)/J17,"")</f>
        <v/>
      </c>
      <c r="P17" s="6" t="n"/>
      <c r="Q17" s="6" t="n"/>
      <c r="R17" s="6" t="n"/>
      <c r="S17" s="6" t="n"/>
      <c r="T17" s="6" t="n"/>
      <c r="U17" s="8">
        <f>IF(AND(J17&gt;0,T17&gt;0),T17/J17*1000,"")</f>
        <v/>
      </c>
      <c r="V17" s="6" t="n"/>
      <c r="W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>
        <f>IF(J18&gt;0,(K18+L18+M18+N18)/J18,"")</f>
        <v/>
      </c>
      <c r="P18" s="6" t="n"/>
      <c r="Q18" s="6" t="n"/>
      <c r="R18" s="6" t="n"/>
      <c r="S18" s="6" t="n"/>
      <c r="T18" s="6" t="n"/>
      <c r="U18" s="8">
        <f>IF(AND(J18&gt;0,T18&gt;0),T18/J18*1000,"")</f>
        <v/>
      </c>
      <c r="V18" s="6" t="n"/>
      <c r="W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7">
        <f>IF(J19&gt;0,(K19+L19+M19+N19)/J19,"")</f>
        <v/>
      </c>
      <c r="P19" s="6" t="n"/>
      <c r="Q19" s="6" t="n"/>
      <c r="R19" s="6" t="n"/>
      <c r="S19" s="6" t="n"/>
      <c r="T19" s="6" t="n"/>
      <c r="U19" s="8">
        <f>IF(AND(J19&gt;0,T19&gt;0),T19/J19*1000,"")</f>
        <v/>
      </c>
      <c r="V19" s="6" t="n"/>
      <c r="W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7">
        <f>IF(J20&gt;0,(K20+L20+M20+N20)/J20,"")</f>
        <v/>
      </c>
      <c r="P20" s="6" t="n"/>
      <c r="Q20" s="6" t="n"/>
      <c r="R20" s="6" t="n"/>
      <c r="S20" s="6" t="n"/>
      <c r="T20" s="6" t="n"/>
      <c r="U20" s="8">
        <f>IF(AND(J20&gt;0,T20&gt;0),T20/J20*1000,"")</f>
        <v/>
      </c>
      <c r="V20" s="6" t="n"/>
      <c r="W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7">
        <f>IF(J21&gt;0,(K21+L21+M21+N21)/J21,"")</f>
        <v/>
      </c>
      <c r="P21" s="6" t="n"/>
      <c r="Q21" s="6" t="n"/>
      <c r="R21" s="6" t="n"/>
      <c r="S21" s="6" t="n"/>
      <c r="T21" s="6" t="n"/>
      <c r="U21" s="8">
        <f>IF(AND(J21&gt;0,T21&gt;0),T21/J21*1000,"")</f>
        <v/>
      </c>
      <c r="V21" s="6" t="n"/>
      <c r="W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7">
        <f>IF(J22&gt;0,(K22+L22+M22+N22)/J22,"")</f>
        <v/>
      </c>
      <c r="P22" s="6" t="n"/>
      <c r="Q22" s="6" t="n"/>
      <c r="R22" s="6" t="n"/>
      <c r="S22" s="6" t="n"/>
      <c r="T22" s="6" t="n"/>
      <c r="U22" s="8">
        <f>IF(AND(J22&gt;0,T22&gt;0),T22/J22*1000,"")</f>
        <v/>
      </c>
      <c r="V22" s="6" t="n"/>
      <c r="W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7">
        <f>IF(J23&gt;0,(K23+L23+M23+N23)/J23,"")</f>
        <v/>
      </c>
      <c r="P23" s="6" t="n"/>
      <c r="Q23" s="6" t="n"/>
      <c r="R23" s="6" t="n"/>
      <c r="S23" s="6" t="n"/>
      <c r="T23" s="6" t="n"/>
      <c r="U23" s="8">
        <f>IF(AND(J23&gt;0,T23&gt;0),T23/J23*1000,"")</f>
        <v/>
      </c>
      <c r="V23" s="6" t="n"/>
      <c r="W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7">
        <f>IF(J24&gt;0,(K24+L24+M24+N24)/J24,"")</f>
        <v/>
      </c>
      <c r="P24" s="6" t="n"/>
      <c r="Q24" s="6" t="n"/>
      <c r="R24" s="6" t="n"/>
      <c r="S24" s="6" t="n"/>
      <c r="T24" s="6" t="n"/>
      <c r="U24" s="8">
        <f>IF(AND(J24&gt;0,T24&gt;0),T24/J24*1000,"")</f>
        <v/>
      </c>
      <c r="V24" s="6" t="n"/>
      <c r="W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7">
        <f>IF(J25&gt;0,(K25+L25+M25+N25)/J25,"")</f>
        <v/>
      </c>
      <c r="P25" s="6" t="n"/>
      <c r="Q25" s="6" t="n"/>
      <c r="R25" s="6" t="n"/>
      <c r="S25" s="6" t="n"/>
      <c r="T25" s="6" t="n"/>
      <c r="U25" s="8">
        <f>IF(AND(J25&gt;0,T25&gt;0),T25/J25*1000,"")</f>
        <v/>
      </c>
      <c r="V25" s="6" t="n"/>
      <c r="W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7">
        <f>IF(J26&gt;0,(K26+L26+M26+N26)/J26,"")</f>
        <v/>
      </c>
      <c r="P26" s="6" t="n"/>
      <c r="Q26" s="6" t="n"/>
      <c r="R26" s="6" t="n"/>
      <c r="S26" s="6" t="n"/>
      <c r="T26" s="6" t="n"/>
      <c r="U26" s="8">
        <f>IF(AND(J26&gt;0,T26&gt;0),T26/J26*1000,"")</f>
        <v/>
      </c>
      <c r="V26" s="6" t="n"/>
      <c r="W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7">
        <f>IF(J27&gt;0,(K27+L27+M27+N27)/J27,"")</f>
        <v/>
      </c>
      <c r="P27" s="6" t="n"/>
      <c r="Q27" s="6" t="n"/>
      <c r="R27" s="6" t="n"/>
      <c r="S27" s="6" t="n"/>
      <c r="T27" s="6" t="n"/>
      <c r="U27" s="8">
        <f>IF(AND(J27&gt;0,T27&gt;0),T27/J27*1000,"")</f>
        <v/>
      </c>
      <c r="V27" s="6" t="n"/>
      <c r="W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7">
        <f>IF(J28&gt;0,(K28+L28+M28+N28)/J28,"")</f>
        <v/>
      </c>
      <c r="P28" s="6" t="n"/>
      <c r="Q28" s="6" t="n"/>
      <c r="R28" s="6" t="n"/>
      <c r="S28" s="6" t="n"/>
      <c r="T28" s="6" t="n"/>
      <c r="U28" s="8">
        <f>IF(AND(J28&gt;0,T28&gt;0),T28/J28*1000,"")</f>
        <v/>
      </c>
      <c r="V28" s="6" t="n"/>
      <c r="W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7">
        <f>IF(J29&gt;0,(K29+L29+M29+N29)/J29,"")</f>
        <v/>
      </c>
      <c r="P29" s="6" t="n"/>
      <c r="Q29" s="6" t="n"/>
      <c r="R29" s="6" t="n"/>
      <c r="S29" s="6" t="n"/>
      <c r="T29" s="6" t="n"/>
      <c r="U29" s="8">
        <f>IF(AND(J29&gt;0,T29&gt;0),T29/J29*1000,"")</f>
        <v/>
      </c>
      <c r="V29" s="6" t="n"/>
      <c r="W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7">
        <f>IF(J30&gt;0,(K30+L30+M30+N30)/J30,"")</f>
        <v/>
      </c>
      <c r="P30" s="6" t="n"/>
      <c r="Q30" s="6" t="n"/>
      <c r="R30" s="6" t="n"/>
      <c r="S30" s="6" t="n"/>
      <c r="T30" s="6" t="n"/>
      <c r="U30" s="8">
        <f>IF(AND(J30&gt;0,T30&gt;0),T30/J30*1000,"")</f>
        <v/>
      </c>
      <c r="V30" s="6" t="n"/>
      <c r="W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7">
        <f>IF(J31&gt;0,(K31+L31+M31+N31)/J31,"")</f>
        <v/>
      </c>
      <c r="P31" s="6" t="n"/>
      <c r="Q31" s="6" t="n"/>
      <c r="R31" s="6" t="n"/>
      <c r="S31" s="6" t="n"/>
      <c r="T31" s="6" t="n"/>
      <c r="U31" s="8">
        <f>IF(AND(J31&gt;0,T31&gt;0),T31/J31*1000,"")</f>
        <v/>
      </c>
      <c r="V31" s="6" t="n"/>
      <c r="W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7">
        <f>IF(J32&gt;0,(K32+L32+M32+N32)/J32,"")</f>
        <v/>
      </c>
      <c r="P32" s="6" t="n"/>
      <c r="Q32" s="6" t="n"/>
      <c r="R32" s="6" t="n"/>
      <c r="S32" s="6" t="n"/>
      <c r="T32" s="6" t="n"/>
      <c r="U32" s="8">
        <f>IF(AND(J32&gt;0,T32&gt;0),T32/J32*1000,"")</f>
        <v/>
      </c>
      <c r="V32" s="6" t="n"/>
      <c r="W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7">
        <f>IF(J33&gt;0,(K33+L33+M33+N33)/J33,"")</f>
        <v/>
      </c>
      <c r="P33" s="6" t="n"/>
      <c r="Q33" s="6" t="n"/>
      <c r="R33" s="6" t="n"/>
      <c r="S33" s="6" t="n"/>
      <c r="T33" s="6" t="n"/>
      <c r="U33" s="8">
        <f>IF(AND(J33&gt;0,T33&gt;0),T33/J33*1000,"")</f>
        <v/>
      </c>
      <c r="V33" s="6" t="n"/>
      <c r="W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7">
        <f>IF(J34&gt;0,(K34+L34+M34+N34)/J34,"")</f>
        <v/>
      </c>
      <c r="P34" s="6" t="n"/>
      <c r="Q34" s="6" t="n"/>
      <c r="R34" s="6" t="n"/>
      <c r="S34" s="6" t="n"/>
      <c r="T34" s="6" t="n"/>
      <c r="U34" s="8">
        <f>IF(AND(J34&gt;0,T34&gt;0),T34/J34*1000,"")</f>
        <v/>
      </c>
      <c r="V34" s="6" t="n"/>
      <c r="W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7">
        <f>IF(J35&gt;0,(K35+L35+M35+N35)/J35,"")</f>
        <v/>
      </c>
      <c r="P35" s="6" t="n"/>
      <c r="Q35" s="6" t="n"/>
      <c r="R35" s="6" t="n"/>
      <c r="S35" s="6" t="n"/>
      <c r="T35" s="6" t="n"/>
      <c r="U35" s="8">
        <f>IF(AND(J35&gt;0,T35&gt;0),T35/J35*1000,"")</f>
        <v/>
      </c>
      <c r="V35" s="6" t="n"/>
      <c r="W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7">
        <f>IF(J36&gt;0,(K36+L36+M36+N36)/J36,"")</f>
        <v/>
      </c>
      <c r="P36" s="6" t="n"/>
      <c r="Q36" s="6" t="n"/>
      <c r="R36" s="6" t="n"/>
      <c r="S36" s="6" t="n"/>
      <c r="T36" s="6" t="n"/>
      <c r="U36" s="8">
        <f>IF(AND(J36&gt;0,T36&gt;0),T36/J36*1000,"")</f>
        <v/>
      </c>
      <c r="V36" s="6" t="n"/>
      <c r="W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7">
        <f>IF(J37&gt;0,(K37+L37+M37+N37)/J37,"")</f>
        <v/>
      </c>
      <c r="P37" s="6" t="n"/>
      <c r="Q37" s="6" t="n"/>
      <c r="R37" s="6" t="n"/>
      <c r="S37" s="6" t="n"/>
      <c r="T37" s="6" t="n"/>
      <c r="U37" s="8">
        <f>IF(AND(J37&gt;0,T37&gt;0),T37/J37*1000,"")</f>
        <v/>
      </c>
      <c r="V37" s="6" t="n"/>
      <c r="W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7">
        <f>IF(J38&gt;0,(K38+L38+M38+N38)/J38,"")</f>
        <v/>
      </c>
      <c r="P38" s="6" t="n"/>
      <c r="Q38" s="6" t="n"/>
      <c r="R38" s="6" t="n"/>
      <c r="S38" s="6" t="n"/>
      <c r="T38" s="6" t="n"/>
      <c r="U38" s="8">
        <f>IF(AND(J38&gt;0,T38&gt;0),T38/J38*1000,"")</f>
        <v/>
      </c>
      <c r="V38" s="6" t="n"/>
      <c r="W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>
        <f>IF(J39&gt;0,(K39+L39+M39+N39)/J39,"")</f>
        <v/>
      </c>
      <c r="P39" s="6" t="n"/>
      <c r="Q39" s="6" t="n"/>
      <c r="R39" s="6" t="n"/>
      <c r="S39" s="6" t="n"/>
      <c r="T39" s="6" t="n"/>
      <c r="U39" s="8">
        <f>IF(AND(J39&gt;0,T39&gt;0),T39/J39*1000,"")</f>
        <v/>
      </c>
      <c r="V39" s="6" t="n"/>
      <c r="W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7">
        <f>IF(J40&gt;0,(K40+L40+M40+N40)/J40,"")</f>
        <v/>
      </c>
      <c r="P40" s="6" t="n"/>
      <c r="Q40" s="6" t="n"/>
      <c r="R40" s="6" t="n"/>
      <c r="S40" s="6" t="n"/>
      <c r="T40" s="6" t="n"/>
      <c r="U40" s="8">
        <f>IF(AND(J40&gt;0,T40&gt;0),T40/J40*1000,"")</f>
        <v/>
      </c>
      <c r="V40" s="6" t="n"/>
      <c r="W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7">
        <f>IF(J41&gt;0,(K41+L41+M41+N41)/J41,"")</f>
        <v/>
      </c>
      <c r="P41" s="6" t="n"/>
      <c r="Q41" s="6" t="n"/>
      <c r="R41" s="6" t="n"/>
      <c r="S41" s="6" t="n"/>
      <c r="T41" s="6" t="n"/>
      <c r="U41" s="8">
        <f>IF(AND(J41&gt;0,T41&gt;0),T41/J41*1000,"")</f>
        <v/>
      </c>
      <c r="V41" s="6" t="n"/>
      <c r="W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>
        <f>IF(J42&gt;0,(K42+L42+M42+N42)/J42,"")</f>
        <v/>
      </c>
      <c r="P42" s="6" t="n"/>
      <c r="Q42" s="6" t="n"/>
      <c r="R42" s="6" t="n"/>
      <c r="S42" s="6" t="n"/>
      <c r="T42" s="6" t="n"/>
      <c r="U42" s="8">
        <f>IF(AND(J42&gt;0,T42&gt;0),T42/J42*1000,"")</f>
        <v/>
      </c>
      <c r="V42" s="6" t="n"/>
      <c r="W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7">
        <f>IF(J43&gt;0,(K43+L43+M43+N43)/J43,"")</f>
        <v/>
      </c>
      <c r="P43" s="6" t="n"/>
      <c r="Q43" s="6" t="n"/>
      <c r="R43" s="6" t="n"/>
      <c r="S43" s="6" t="n"/>
      <c r="T43" s="6" t="n"/>
      <c r="U43" s="8">
        <f>IF(AND(J43&gt;0,T43&gt;0),T43/J43*1000,"")</f>
        <v/>
      </c>
      <c r="V43" s="6" t="n"/>
      <c r="W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7">
        <f>IF(J44&gt;0,(K44+L44+M44+N44)/J44,"")</f>
        <v/>
      </c>
      <c r="P44" s="6" t="n"/>
      <c r="Q44" s="6" t="n"/>
      <c r="R44" s="6" t="n"/>
      <c r="S44" s="6" t="n"/>
      <c r="T44" s="6" t="n"/>
      <c r="U44" s="8">
        <f>IF(AND(J44&gt;0,T44&gt;0),T44/J44*1000,"")</f>
        <v/>
      </c>
      <c r="V44" s="6" t="n"/>
      <c r="W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7">
        <f>IF(J45&gt;0,(K45+L45+M45+N45)/J45,"")</f>
        <v/>
      </c>
      <c r="P45" s="6" t="n"/>
      <c r="Q45" s="6" t="n"/>
      <c r="R45" s="6" t="n"/>
      <c r="S45" s="6" t="n"/>
      <c r="T45" s="6" t="n"/>
      <c r="U45" s="8">
        <f>IF(AND(J45&gt;0,T45&gt;0),T45/J45*1000,"")</f>
        <v/>
      </c>
      <c r="V45" s="6" t="n"/>
      <c r="W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7">
        <f>IF(J46&gt;0,(K46+L46+M46+N46)/J46,"")</f>
        <v/>
      </c>
      <c r="P46" s="6" t="n"/>
      <c r="Q46" s="6" t="n"/>
      <c r="R46" s="6" t="n"/>
      <c r="S46" s="6" t="n"/>
      <c r="T46" s="6" t="n"/>
      <c r="U46" s="8">
        <f>IF(AND(J46&gt;0,T46&gt;0),T46/J46*1000,"")</f>
        <v/>
      </c>
      <c r="V46" s="6" t="n"/>
      <c r="W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7">
        <f>IF(J47&gt;0,(K47+L47+M47+N47)/J47,"")</f>
        <v/>
      </c>
      <c r="P47" s="6" t="n"/>
      <c r="Q47" s="6" t="n"/>
      <c r="R47" s="6" t="n"/>
      <c r="S47" s="6" t="n"/>
      <c r="T47" s="6" t="n"/>
      <c r="U47" s="8">
        <f>IF(AND(J47&gt;0,T47&gt;0),T47/J47*1000,"")</f>
        <v/>
      </c>
      <c r="V47" s="6" t="n"/>
      <c r="W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7">
        <f>IF(J48&gt;0,(K48+L48+M48+N48)/J48,"")</f>
        <v/>
      </c>
      <c r="P48" s="6" t="n"/>
      <c r="Q48" s="6" t="n"/>
      <c r="R48" s="6" t="n"/>
      <c r="S48" s="6" t="n"/>
      <c r="T48" s="6" t="n"/>
      <c r="U48" s="8">
        <f>IF(AND(J48&gt;0,T48&gt;0),T48/J48*1000,"")</f>
        <v/>
      </c>
      <c r="V48" s="6" t="n"/>
      <c r="W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7">
        <f>IF(J49&gt;0,(K49+L49+M49+N49)/J49,"")</f>
        <v/>
      </c>
      <c r="P49" s="6" t="n"/>
      <c r="Q49" s="6" t="n"/>
      <c r="R49" s="6" t="n"/>
      <c r="S49" s="6" t="n"/>
      <c r="T49" s="6" t="n"/>
      <c r="U49" s="8">
        <f>IF(AND(J49&gt;0,T49&gt;0),T49/J49*1000,"")</f>
        <v/>
      </c>
      <c r="V49" s="6" t="n"/>
      <c r="W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7">
        <f>IF(J50&gt;0,(K50+L50+M50+N50)/J50,"")</f>
        <v/>
      </c>
      <c r="P50" s="6" t="n"/>
      <c r="Q50" s="6" t="n"/>
      <c r="R50" s="6" t="n"/>
      <c r="S50" s="6" t="n"/>
      <c r="T50" s="6" t="n"/>
      <c r="U50" s="8">
        <f>IF(AND(J50&gt;0,T50&gt;0),T50/J50*1000,"")</f>
        <v/>
      </c>
      <c r="V50" s="6" t="n"/>
      <c r="W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7">
        <f>IF(J51&gt;0,(K51+L51+M51+N51)/J51,"")</f>
        <v/>
      </c>
      <c r="P51" s="6" t="n"/>
      <c r="Q51" s="6" t="n"/>
      <c r="R51" s="6" t="n"/>
      <c r="S51" s="6" t="n"/>
      <c r="T51" s="6" t="n"/>
      <c r="U51" s="8">
        <f>IF(AND(J51&gt;0,T51&gt;0),T51/J51*1000,"")</f>
        <v/>
      </c>
      <c r="V51" s="6" t="n"/>
      <c r="W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7">
        <f>IF(J52&gt;0,(K52+L52+M52+N52)/J52,"")</f>
        <v/>
      </c>
      <c r="P52" s="6" t="n"/>
      <c r="Q52" s="6" t="n"/>
      <c r="R52" s="6" t="n"/>
      <c r="S52" s="6" t="n"/>
      <c r="T52" s="6" t="n"/>
      <c r="U52" s="8">
        <f>IF(AND(J52&gt;0,T52&gt;0),T52/J52*1000,"")</f>
        <v/>
      </c>
      <c r="V52" s="6" t="n"/>
      <c r="W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7">
        <f>IF(J53&gt;0,(K53+L53+M53+N53)/J53,"")</f>
        <v/>
      </c>
      <c r="P53" s="6" t="n"/>
      <c r="Q53" s="6" t="n"/>
      <c r="R53" s="6" t="n"/>
      <c r="S53" s="6" t="n"/>
      <c r="T53" s="6" t="n"/>
      <c r="U53" s="8">
        <f>IF(AND(J53&gt;0,T53&gt;0),T53/J53*1000,"")</f>
        <v/>
      </c>
      <c r="V53" s="6" t="n"/>
      <c r="W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7">
        <f>IF(J54&gt;0,(K54+L54+M54+N54)/J54,"")</f>
        <v/>
      </c>
      <c r="P54" s="6" t="n"/>
      <c r="Q54" s="6" t="n"/>
      <c r="R54" s="6" t="n"/>
      <c r="S54" s="6" t="n"/>
      <c r="T54" s="6" t="n"/>
      <c r="U54" s="8">
        <f>IF(AND(J54&gt;0,T54&gt;0),T54/J54*1000,"")</f>
        <v/>
      </c>
      <c r="V54" s="6" t="n"/>
      <c r="W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7">
        <f>IF(J55&gt;0,(K55+L55+M55+N55)/J55,"")</f>
        <v/>
      </c>
      <c r="P55" s="6" t="n"/>
      <c r="Q55" s="6" t="n"/>
      <c r="R55" s="6" t="n"/>
      <c r="S55" s="6" t="n"/>
      <c r="T55" s="6" t="n"/>
      <c r="U55" s="8">
        <f>IF(AND(J55&gt;0,T55&gt;0),T55/J55*1000,"")</f>
        <v/>
      </c>
      <c r="V55" s="6" t="n"/>
      <c r="W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7">
        <f>IF(J56&gt;0,(K56+L56+M56+N56)/J56,"")</f>
        <v/>
      </c>
      <c r="P56" s="6" t="n"/>
      <c r="Q56" s="6" t="n"/>
      <c r="R56" s="6" t="n"/>
      <c r="S56" s="6" t="n"/>
      <c r="T56" s="6" t="n"/>
      <c r="U56" s="8">
        <f>IF(AND(J56&gt;0,T56&gt;0),T56/J56*1000,"")</f>
        <v/>
      </c>
      <c r="V56" s="6" t="n"/>
      <c r="W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7">
        <f>IF(J57&gt;0,(K57+L57+M57+N57)/J57,"")</f>
        <v/>
      </c>
      <c r="P57" s="6" t="n"/>
      <c r="Q57" s="6" t="n"/>
      <c r="R57" s="6" t="n"/>
      <c r="S57" s="6" t="n"/>
      <c r="T57" s="6" t="n"/>
      <c r="U57" s="8">
        <f>IF(AND(J57&gt;0,T57&gt;0),T57/J57*1000,"")</f>
        <v/>
      </c>
      <c r="V57" s="6" t="n"/>
      <c r="W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7">
        <f>IF(J58&gt;0,(K58+L58+M58+N58)/J58,"")</f>
        <v/>
      </c>
      <c r="P58" s="6" t="n"/>
      <c r="Q58" s="6" t="n"/>
      <c r="R58" s="6" t="n"/>
      <c r="S58" s="6" t="n"/>
      <c r="T58" s="6" t="n"/>
      <c r="U58" s="8">
        <f>IF(AND(J58&gt;0,T58&gt;0),T58/J58*1000,"")</f>
        <v/>
      </c>
      <c r="V58" s="6" t="n"/>
      <c r="W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7">
        <f>IF(J59&gt;0,(K59+L59+M59+N59)/J59,"")</f>
        <v/>
      </c>
      <c r="P59" s="6" t="n"/>
      <c r="Q59" s="6" t="n"/>
      <c r="R59" s="6" t="n"/>
      <c r="S59" s="6" t="n"/>
      <c r="T59" s="6" t="n"/>
      <c r="U59" s="8">
        <f>IF(AND(J59&gt;0,T59&gt;0),T59/J59*1000,"")</f>
        <v/>
      </c>
      <c r="V59" s="6" t="n"/>
      <c r="W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7">
        <f>IF(J60&gt;0,(K60+L60+M60+N60)/J60,"")</f>
        <v/>
      </c>
      <c r="P60" s="6" t="n"/>
      <c r="Q60" s="6" t="n"/>
      <c r="R60" s="6" t="n"/>
      <c r="S60" s="6" t="n"/>
      <c r="T60" s="6" t="n"/>
      <c r="U60" s="8">
        <f>IF(AND(J60&gt;0,T60&gt;0),T60/J60*1000,"")</f>
        <v/>
      </c>
      <c r="V60" s="6" t="n"/>
      <c r="W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7">
        <f>IF(J61&gt;0,(K61+L61+M61+N61)/J61,"")</f>
        <v/>
      </c>
      <c r="P61" s="6" t="n"/>
      <c r="Q61" s="6" t="n"/>
      <c r="R61" s="6" t="n"/>
      <c r="S61" s="6" t="n"/>
      <c r="T61" s="6" t="n"/>
      <c r="U61" s="8">
        <f>IF(AND(J61&gt;0,T61&gt;0),T61/J61*1000,"")</f>
        <v/>
      </c>
      <c r="V61" s="6" t="n"/>
      <c r="W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7">
        <f>IF(J62&gt;0,(K62+L62+M62+N62)/J62,"")</f>
        <v/>
      </c>
      <c r="P62" s="6" t="n"/>
      <c r="Q62" s="6" t="n"/>
      <c r="R62" s="6" t="n"/>
      <c r="S62" s="6" t="n"/>
      <c r="T62" s="6" t="n"/>
      <c r="U62" s="8">
        <f>IF(AND(J62&gt;0,T62&gt;0),T62/J62*1000,"")</f>
        <v/>
      </c>
      <c r="V62" s="6" t="n"/>
      <c r="W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7">
        <f>IF(J63&gt;0,(K63+L63+M63+N63)/J63,"")</f>
        <v/>
      </c>
      <c r="P63" s="6" t="n"/>
      <c r="Q63" s="6" t="n"/>
      <c r="R63" s="6" t="n"/>
      <c r="S63" s="6" t="n"/>
      <c r="T63" s="6" t="n"/>
      <c r="U63" s="8">
        <f>IF(AND(J63&gt;0,T63&gt;0),T63/J63*1000,"")</f>
        <v/>
      </c>
      <c r="V63" s="6" t="n"/>
      <c r="W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7">
        <f>IF(J64&gt;0,(K64+L64+M64+N64)/J64,"")</f>
        <v/>
      </c>
      <c r="P64" s="6" t="n"/>
      <c r="Q64" s="6" t="n"/>
      <c r="R64" s="6" t="n"/>
      <c r="S64" s="6" t="n"/>
      <c r="T64" s="6" t="n"/>
      <c r="U64" s="8">
        <f>IF(AND(J64&gt;0,T64&gt;0),T64/J64*1000,"")</f>
        <v/>
      </c>
      <c r="V64" s="6" t="n"/>
      <c r="W64" s="6" t="n"/>
    </row>
  </sheetData>
  <autoFilter ref="A4:W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0" customWidth="1" min="2" max="2"/>
    <col width="55" customWidth="1" min="3" max="3"/>
  </cols>
  <sheetData>
    <row r="1">
      <c r="A1" s="1" t="inlineStr">
        <is>
          <t>90-day targets</t>
        </is>
      </c>
    </row>
    <row r="2">
      <c r="A2" s="2" t="inlineStr">
        <is>
          <t>Set from the creators' real Instagram numbers (29 Sep 2026).</t>
        </is>
      </c>
    </row>
    <row r="4">
      <c r="A4" s="3" t="inlineStr">
        <is>
          <t>Measure</t>
        </is>
      </c>
      <c r="B4" s="3" t="inlineStr">
        <is>
          <t>Target</t>
        </is>
      </c>
      <c r="C4" s="3" t="inlineStr">
        <is>
          <t>How measured</t>
        </is>
      </c>
    </row>
    <row r="5">
      <c r="A5" s="4" t="inlineStr">
        <is>
          <t>Creator content live</t>
        </is>
      </c>
      <c r="B5" s="4" t="inlineStr">
        <is>
          <t>12+ Reels · 50+ Stories</t>
        </is>
      </c>
      <c r="C5" s="4" t="inlineStr">
        <is>
          <t>Content &amp; Results log</t>
        </is>
      </c>
    </row>
    <row r="6">
      <c r="A6" s="5" t="inlineStr">
        <is>
          <t>Combined Reel views</t>
        </is>
      </c>
      <c r="B6" s="5" t="inlineStr">
        <is>
          <t>40,000–60,000</t>
        </is>
      </c>
      <c r="C6" s="5" t="inlineStr">
        <is>
          <t>Collab insights + day-7 screenshots (sum of Views)</t>
        </is>
      </c>
    </row>
    <row r="7">
      <c r="A7" s="4" t="inlineStr">
        <is>
          <t>Engagement per view</t>
        </is>
      </c>
      <c r="B7" s="4" t="inlineStr">
        <is>
          <t>3%+</t>
        </is>
      </c>
      <c r="C7" s="4" t="inlineStr">
        <is>
          <t>Engagement per view column (average)</t>
        </is>
      </c>
    </row>
    <row r="8">
      <c r="A8" s="5" t="inlineStr">
        <is>
          <t>@tapthatbreweryandkeghouse followers</t>
        </is>
      </c>
      <c r="B8" s="5" t="inlineStr">
        <is>
          <t>~2K → 2.5K</t>
        </is>
      </c>
      <c r="C8" s="5" t="inlineStr">
        <is>
          <t>Instagram insights; baseline in week 1</t>
        </is>
      </c>
    </row>
    <row r="9">
      <c r="A9" s="4" t="inlineStr">
        <is>
          <t>Creator code mentions at the bar</t>
        </is>
      </c>
      <c r="B9" s="4" t="inlineStr">
        <is>
          <t>30+</t>
        </is>
      </c>
      <c r="C9" s="4" t="inlineStr">
        <is>
          <t>GoTab 'creator code' button</t>
        </is>
      </c>
    </row>
    <row r="10">
      <c r="A10" s="5" t="inlineStr">
        <is>
          <t>Keg system enquiries from creators</t>
        </is>
      </c>
      <c r="B10" s="5" t="inlineStr">
        <is>
          <t>5+</t>
        </is>
      </c>
      <c r="C10" s="5" t="inlineStr">
        <is>
          <t>'How did you hear about us?' on the demo form</t>
        </is>
      </c>
    </row>
    <row r="11">
      <c r="A11" s="4" t="inlineStr">
        <is>
          <t>Cost per 1,000 views</t>
        </is>
      </c>
      <c r="B11" s="4" t="inlineStr">
        <is>
          <t>Paid creator pieces &lt; $40 · boosted Reels &lt; $15</t>
        </is>
      </c>
      <c r="C11" s="4" t="inlineStr">
        <is>
          <t>Cost per 1K views column</t>
        </is>
      </c>
    </row>
    <row r="12">
      <c r="A12" s="5" t="inlineStr">
        <is>
          <t>New media listings</t>
        </is>
      </c>
      <c r="B12" s="5" t="inlineStr">
        <is>
          <t>2: Inside Gold Coast + Urban List</t>
        </is>
      </c>
      <c r="C12" s="5" t="inlineStr">
        <is>
          <t>Live links</t>
        </is>
      </c>
    </row>
    <row r="13">
      <c r="A13" s="4" t="inlineStr">
        <is>
          <t>Week-6 step-up gate</t>
        </is>
      </c>
      <c r="B13" s="4" t="inlineStr">
        <is>
          <t>3%+ engagement per view AND (3+ keg enquiries OR 20+ code mentions)</t>
        </is>
      </c>
      <c r="C13" s="4" t="inlineStr">
        <is>
          <t>Review at week 6 before any step-up spend</t>
        </is>
      </c>
    </row>
  </sheetData>
  <autoFilter ref="A4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  <col width="12" customWidth="1" min="3" max="3"/>
    <col width="20" customWidth="1" min="4" max="4"/>
  </cols>
  <sheetData>
    <row r="1">
      <c r="A1" s="1" t="inlineStr">
        <is>
          <t>Compliance checklist — every creator, every post</t>
        </is>
      </c>
    </row>
    <row r="2">
      <c r="A2" s="2" t="inlineStr">
        <is>
          <t>ABAC Code (21 May 2025) + Toolkits #2/#3, AANA Code of Ethics 2.7, ACCC, QLD Liquor Act, TikTok Branded Content Policy (31 Aug 2026). Not legal advice.</t>
        </is>
      </c>
    </row>
    <row r="4">
      <c r="A4" s="3" t="inlineStr">
        <is>
          <t>Stage</t>
        </is>
      </c>
      <c r="B4" s="3" t="inlineStr">
        <is>
          <t>Check</t>
        </is>
      </c>
      <c r="C4" s="3" t="inlineStr">
        <is>
          <t>Done (Y/N)</t>
        </is>
      </c>
      <c r="D4" s="3" t="inlineStr">
        <is>
          <t>Checked by / date</t>
        </is>
      </c>
    </row>
    <row r="5">
      <c r="A5" s="4" t="inlineStr">
        <is>
          <t>Before contact</t>
        </is>
      </c>
      <c r="B5" s="4" t="inlineStr">
        <is>
          <t>Creator is 25+ and appears 25+ (ABAC Code 3(b)(iii)); not pregnant</t>
        </is>
      </c>
    </row>
    <row r="6">
      <c r="A6" s="5" t="inlineStr">
        <is>
          <t>Before contact</t>
        </is>
      </c>
      <c r="B6" s="5" t="inlineStr">
        <is>
          <t>Audience is 80%+ adult on follower data (insights screenshot) (Code 4(c))</t>
        </is>
      </c>
    </row>
    <row r="7">
      <c r="A7" s="4" t="inlineStr">
        <is>
          <t>Before contact</t>
        </is>
      </c>
      <c r="B7" s="4" t="inlineStr">
        <is>
          <t>Six-month lookback: no binge-drinking, bottomless-led or drink-driving content, nothing aimed at minors</t>
        </is>
      </c>
    </row>
    <row r="8">
      <c r="A8" s="5" t="inlineStr">
        <is>
          <t>Before contact</t>
        </is>
      </c>
      <c r="B8" s="5" t="inlineStr">
        <is>
          <t>Not a family/kids-focused account</t>
        </is>
      </c>
    </row>
    <row r="9">
      <c r="A9" s="4" t="inlineStr">
        <is>
          <t>Agreement</t>
        </is>
      </c>
      <c r="B9" s="4" t="inlineStr">
        <is>
          <t>Signed agreement: Instagram only (not TikTok), ABAC compliance, disclosure, 18+ restriction, Collab post, comment moderation, takedown on request, usage rights, day-7 insights screenshot</t>
        </is>
      </c>
    </row>
    <row r="10">
      <c r="A10" s="5" t="inlineStr">
        <is>
          <t>Agreement</t>
        </is>
      </c>
      <c r="B10" s="5" t="inlineStr">
        <is>
          <t>Creator has done ABAC's free online course (1 hour) or read Toolkit #3</t>
        </is>
      </c>
    </row>
    <row r="11">
      <c r="A11" s="4" t="inlineStr">
        <is>
          <t>Content</t>
        </is>
      </c>
      <c r="B11" s="4" t="inlineStr">
        <is>
          <t>No drinking shown by anyone under 25 in a visually prominent way; no minors near alcohol</t>
        </is>
      </c>
    </row>
    <row r="12">
      <c r="A12" s="5" t="inlineStr">
        <is>
          <t>Content</t>
        </is>
      </c>
      <c r="B12" s="5" t="inlineStr">
        <is>
          <t>No rapid or excessive drinking, skolling, games, dares, 'getting smashed' jokes, or intoxication played for laughs</t>
        </is>
      </c>
    </row>
    <row r="13">
      <c r="A13" s="4" t="inlineStr">
        <is>
          <t>Content</t>
        </is>
      </c>
      <c r="B13" s="4" t="inlineStr">
        <is>
          <t>No claims that alcohol improves mood, relaxes, or makes the night, the person or the event a success</t>
        </is>
      </c>
    </row>
    <row r="14">
      <c r="A14" s="5" t="inlineStr">
        <is>
          <t>Content</t>
        </is>
      </c>
      <c r="B14" s="5" t="inlineStr">
        <is>
          <t>No alcohol with driving, boating, swimming or machinery; 4WD/Benchy shots with the vehicle parked and the day done</t>
        </is>
      </c>
    </row>
    <row r="15">
      <c r="A15" s="4" t="inlineStr">
        <is>
          <t>Content</t>
        </is>
      </c>
      <c r="B15" s="4" t="inlineStr">
        <is>
          <t>No free, discounted or bottomless drink offers in captions (QLD Liquor Act s142ZZC); no happy hour prices</t>
        </is>
      </c>
    </row>
    <row r="16">
      <c r="A16" s="5" t="inlineStr">
        <is>
          <t>Content</t>
        </is>
      </c>
      <c r="B16" s="5" t="inlineStr">
        <is>
          <t>Strength not emphasised; say 'gluten-reduced', never 'gluten-free'</t>
        </is>
      </c>
    </row>
    <row r="17">
      <c r="A17" s="4" t="inlineStr">
        <is>
          <t>Content</t>
        </is>
      </c>
      <c r="B17" s="4" t="inlineStr">
        <is>
          <t>Responsible-drinking line included (e.g. 'Enjoy responsibly. 18+.')</t>
        </is>
      </c>
    </row>
    <row r="18">
      <c r="A18" s="5" t="inlineStr">
        <is>
          <t>Before posting</t>
        </is>
      </c>
      <c r="B18" s="5" t="inlineStr">
        <is>
          <t>Draft sent to Tap That for approval; paid Reels over $1K or anything borderline to ABAC pre-vetting ($250/half-hour, non-signatory)</t>
        </is>
      </c>
    </row>
    <row r="19">
      <c r="A19" s="4" t="inlineStr">
        <is>
          <t>Posting</t>
        </is>
      </c>
      <c r="B19" s="4" t="inlineStr">
        <is>
          <t>Instagram: Collab post with @tapthatbreweryandkeghouse + Paid Partnership label + audience restriction 18+</t>
        </is>
      </c>
    </row>
    <row r="20">
      <c r="A20" s="5" t="inlineStr">
        <is>
          <t>Posting</t>
        </is>
      </c>
      <c r="B20" s="5" t="inlineStr">
        <is>
          <t>'#ad' at the start of the caption; 'gifted' alone is not enough (AANA 2.7 / ACCC)</t>
        </is>
      </c>
    </row>
    <row r="21">
      <c r="A21" s="4" t="inlineStr">
        <is>
          <t>Posting</t>
        </is>
      </c>
      <c r="B21" s="4" t="inlineStr">
        <is>
          <t>Not posted on TikTok: gifted/paid alcohol content there needs Tap That's TikTok One approval, which Tap That does not have</t>
        </is>
      </c>
    </row>
    <row r="22">
      <c r="A22" s="5" t="inlineStr">
        <is>
          <t>After posting</t>
        </is>
      </c>
      <c r="B22" s="5" t="inlineStr">
        <is>
          <t>Comments moderated for 72 hours; remove anything encouraging excess or from apparent minors</t>
        </is>
      </c>
    </row>
    <row r="23">
      <c r="A23" s="4" t="inlineStr">
        <is>
          <t>After posting</t>
        </is>
      </c>
      <c r="B23" s="4" t="inlineStr">
        <is>
          <t>Reposts on Tap That's own account go through the same checks</t>
        </is>
      </c>
    </row>
    <row r="24">
      <c r="A24" s="5" t="inlineStr">
        <is>
          <t>Giveaways</t>
        </is>
      </c>
      <c r="B24" s="5" t="inlineStr">
        <is>
          <t>Any creator giveaway with a liquor prize: 18+ entry, DOB check, free entry (QLD Charitable and Non-Profit Gaming Act s110)</t>
        </is>
      </c>
    </row>
  </sheetData>
  <autoFilter ref="A4:D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Dropped after the 29 Sep check</t>
        </is>
      </c>
    </row>
    <row r="2">
      <c r="A2" s="2" t="inlineStr">
        <is>
          <t>Started with 27; these six came off.</t>
        </is>
      </c>
    </row>
    <row r="4">
      <c r="A4" s="3" t="inlineStr">
        <is>
          <t>Handle</t>
        </is>
      </c>
      <c r="B4" s="3" t="inlineStr">
        <is>
          <t>Reason</t>
        </is>
      </c>
    </row>
    <row r="5">
      <c r="A5" s="4" t="inlineStr">
        <is>
          <t>@fantasticfeastz</t>
        </is>
      </c>
      <c r="B5" s="4" t="inlineStr">
        <is>
          <t>Brisbane-branded, posting slowed (1 TikTok in 2026), bottomless-heavy</t>
        </is>
      </c>
    </row>
    <row r="6">
      <c r="A6" s="5" t="inlineStr">
        <is>
          <t>@foodieofgoldcoast</t>
        </is>
      </c>
      <c r="B6" s="5" t="inlineStr">
        <is>
          <t>Last post June 2019</t>
        </is>
      </c>
    </row>
    <row r="7">
      <c r="A7" s="4" t="inlineStr">
        <is>
          <t>@thethoughtfultipple</t>
        </is>
      </c>
      <c r="B7" s="4" t="inlineStr">
        <is>
          <t>Last post October 2023</t>
        </is>
      </c>
    </row>
    <row r="8">
      <c r="A8" s="5" t="inlineStr">
        <is>
          <t>@craftyfollow</t>
        </is>
      </c>
      <c r="B8" s="5" t="inlineStr">
        <is>
          <t>~0.15% engagement, a few posts a year, no business contact</t>
        </is>
      </c>
    </row>
    <row r="9">
      <c r="A9" s="4" t="inlineStr">
        <is>
          <t>@goldcoast.guide</t>
        </is>
      </c>
      <c r="B9" s="4" t="inlineStr">
        <is>
          <t>Near-empty spin-off of Gold Coast Magazine (7 posts)</t>
        </is>
      </c>
    </row>
    <row r="10">
      <c r="A10" s="5" t="inlineStr">
        <is>
          <t>@wildroadwanderers</t>
        </is>
      </c>
      <c r="B10" s="5" t="inlineStr">
        <is>
          <t>Family account built around young children: not compatible with alcohol promotion</t>
        </is>
      </c>
    </row>
  </sheetData>
  <autoFilter ref="A4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70" customWidth="1" min="3" max="3"/>
  </cols>
  <sheetData>
    <row r="1">
      <c r="A1" s="1" t="inlineStr">
        <is>
          <t>Partner channels (not creators)</t>
        </is>
      </c>
    </row>
    <row r="2">
      <c r="A2" s="2" t="inlineStr">
        <is>
          <t>Free or cross-promo channels.</t>
        </is>
      </c>
    </row>
    <row r="4">
      <c r="A4" s="3" t="inlineStr">
        <is>
          <t>Name</t>
        </is>
      </c>
      <c r="B4" s="3" t="inlineStr">
        <is>
          <t>Handle / site</t>
        </is>
      </c>
      <c r="C4" s="3" t="inlineStr">
        <is>
          <t>Use</t>
        </is>
      </c>
    </row>
    <row r="5">
      <c r="A5" s="4" t="inlineStr">
        <is>
          <t>What's On Tweed (Tweed Shire Council)</t>
        </is>
      </c>
      <c r="B5" s="4" t="inlineStr">
        <is>
          <t>whatsontweed.com.au</t>
        </is>
      </c>
      <c r="C5" s="4" t="inlineStr">
        <is>
          <t>Free event submission for live music and tour nights.</t>
        </is>
      </c>
    </row>
    <row r="6">
      <c r="A6" s="5" t="inlineStr">
        <is>
          <t>MNF4x4 Gold Coast (Ironman4x4 Burleigh Heads)</t>
        </is>
      </c>
      <c r="B6" s="5" t="inlineStr">
        <is>
          <t>@mnf4x4goldcoast</t>
        </is>
      </c>
      <c r="C6" s="5" t="inlineStr">
        <is>
          <t>Neighbouring 4x4 shop: cross-promote the Benchy portable tap.</t>
        </is>
      </c>
    </row>
    <row r="7">
      <c r="A7" s="4" t="inlineStr">
        <is>
          <t>Gold Coast Magazine</t>
        </is>
      </c>
      <c r="B7" s="4" t="inlineStr">
        <is>
          <t>gcmag.com.au/advertise-with-us</t>
        </is>
      </c>
      <c r="C7" s="4" t="inlineStr">
        <is>
          <t>Replaces @goldcoast.guide; print + 'The Guide' event listings.</t>
        </is>
      </c>
    </row>
  </sheetData>
  <autoFilter ref="A4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2026-09-29T01:34:55Z</dcterms:created>
  <dcterms:modified xsi:type="dcterms:W3CDTF">2026-09-29T01:34:55Z</dcterms:modified>
</cp:coreProperties>
</file>